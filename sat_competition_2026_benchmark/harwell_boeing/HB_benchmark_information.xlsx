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uon\Downloads\"/>
    </mc:Choice>
  </mc:AlternateContent>
  <bookViews>
    <workbookView xWindow="-96" yWindow="-96" windowWidth="19380" windowHeight="10980"/>
  </bookViews>
  <sheets>
    <sheet name="Selected instances" sheetId="2" r:id="rId1"/>
    <sheet name="All instances" sheetId="1" r:id="rId2"/>
  </sheets>
  <calcPr calcId="162913"/>
</workbook>
</file>

<file path=xl/calcChain.xml><?xml version="1.0" encoding="utf-8"?>
<calcChain xmlns="http://schemas.openxmlformats.org/spreadsheetml/2006/main">
  <c r="H11" i="1" l="1"/>
  <c r="H12" i="1"/>
  <c r="H13" i="1"/>
  <c r="H15" i="1" s="1"/>
  <c r="H14" i="1"/>
  <c r="I14" i="2" l="1"/>
  <c r="I13" i="2"/>
  <c r="I12" i="2"/>
  <c r="I11" i="2"/>
  <c r="I17" i="2" l="1"/>
  <c r="I15" i="2"/>
  <c r="I16" i="2"/>
</calcChain>
</file>

<file path=xl/sharedStrings.xml><?xml version="1.0" encoding="utf-8"?>
<sst xmlns="http://schemas.openxmlformats.org/spreadsheetml/2006/main" count="785" uniqueCount="38">
  <si>
    <t>Instance</t>
  </si>
  <si>
    <t>Width</t>
  </si>
  <si>
    <t>Result</t>
  </si>
  <si>
    <t>Time (ms)</t>
  </si>
  <si>
    <t>Memory (MB)</t>
  </si>
  <si>
    <t>K-dwt__234</t>
  </si>
  <si>
    <t>SAT</t>
  </si>
  <si>
    <t>-</t>
  </si>
  <si>
    <t>UNSAT</t>
  </si>
  <si>
    <t>M-bcsstk06</t>
  </si>
  <si>
    <t>N-bcsstk07</t>
  </si>
  <si>
    <t>P-can__445</t>
  </si>
  <si>
    <t>S-sherman4</t>
  </si>
  <si>
    <t>T-dwt__592</t>
  </si>
  <si>
    <t>V-nos6</t>
  </si>
  <si>
    <t>X-can__715</t>
  </si>
  <si>
    <t>Statistic</t>
  </si>
  <si>
    <t>Total instances</t>
  </si>
  <si>
    <t>Benchmark submission to SAT Competition 2026</t>
  </si>
  <si>
    <t>Problem: Cyclic Antibanwidth</t>
  </si>
  <si>
    <t>General Statistic</t>
  </si>
  <si>
    <t>Configurations</t>
  </si>
  <si>
    <t>Total solved instances</t>
  </si>
  <si>
    <t>Total unsolved instances</t>
  </si>
  <si>
    <t>SAT solver</t>
  </si>
  <si>
    <t>CaDiCaL version 2.2.1</t>
  </si>
  <si>
    <t>Hardware</t>
  </si>
  <si>
    <t>3600 seconds</t>
  </si>
  <si>
    <t>Time limit</t>
  </si>
  <si>
    <t>Memory limit</t>
  </si>
  <si>
    <t>Google cluster, machine e2-highmem-8, 8 vCPUs, 64GB RAM, running Debian 12 Bookworm, x86_64 architecture</t>
  </si>
  <si>
    <t>30 GB</t>
  </si>
  <si>
    <t>Experiment on all instances (For references)</t>
  </si>
  <si>
    <t>Derived Result</t>
  </si>
  <si>
    <t>Solved SAT instances</t>
  </si>
  <si>
    <t>Solved UNSAT instances</t>
  </si>
  <si>
    <t>Derived SAT instances</t>
  </si>
  <si>
    <t>Derived UNSAT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</si>
</sst>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tabSelected="1" workbookViewId="0">
      <selection activeCell="H14" sqref="H14"/>
    </sheetView>
  </sheetViews>
  <sheetFormatPr defaultRowHeight="14.4" x14ac:dyDescent="0.3"/>
  <cols>
    <col min="1" max="1" width="13.33203125" style="2" customWidth="1"/>
    <col min="2" max="2" width="7" style="2" customWidth="1"/>
    <col min="3" max="3" width="8" style="2" customWidth="1"/>
    <col min="4" max="4" width="15.33203125" style="3" customWidth="1"/>
    <col min="5" max="5" width="11" style="2" customWidth="1"/>
    <col min="6" max="6" width="13" style="2" customWidth="1"/>
    <col min="7" max="7" width="8.88671875" style="2"/>
    <col min="8" max="8" width="24.5546875" style="2" customWidth="1"/>
    <col min="9" max="9" width="7.77734375" style="2" customWidth="1"/>
    <col min="10" max="16384" width="8.88671875" style="2"/>
  </cols>
  <sheetData>
    <row r="1" spans="1:9" ht="18" x14ac:dyDescent="0.3">
      <c r="A1" s="20" t="s">
        <v>18</v>
      </c>
      <c r="B1" s="20"/>
      <c r="C1" s="20"/>
      <c r="D1" s="20"/>
      <c r="E1" s="20"/>
      <c r="F1" s="20"/>
      <c r="G1" s="20"/>
      <c r="H1" s="20"/>
      <c r="I1" s="20"/>
    </row>
    <row r="2" spans="1:9" ht="18" x14ac:dyDescent="0.3">
      <c r="A2" s="21" t="s">
        <v>19</v>
      </c>
      <c r="B2" s="21"/>
      <c r="C2" s="21"/>
      <c r="D2" s="21"/>
      <c r="E2" s="21"/>
      <c r="F2" s="21"/>
      <c r="G2" s="21"/>
      <c r="H2" s="21"/>
      <c r="I2" s="21"/>
    </row>
    <row r="3" spans="1:9" x14ac:dyDescent="0.3">
      <c r="A3" s="6"/>
      <c r="B3" s="6"/>
      <c r="C3" s="6"/>
      <c r="D3" s="6"/>
      <c r="E3" s="6"/>
      <c r="F3" s="6"/>
    </row>
    <row r="4" spans="1:9" x14ac:dyDescent="0.3">
      <c r="A4" s="24" t="s">
        <v>21</v>
      </c>
      <c r="B4" s="24"/>
      <c r="C4" s="24"/>
      <c r="D4" s="24"/>
      <c r="E4" s="6"/>
      <c r="F4" s="6"/>
    </row>
    <row r="5" spans="1:9" x14ac:dyDescent="0.3">
      <c r="A5" s="15" t="s">
        <v>24</v>
      </c>
      <c r="B5" s="25" t="s">
        <v>25</v>
      </c>
      <c r="C5" s="25"/>
      <c r="D5" s="25"/>
      <c r="E5" s="14"/>
      <c r="F5" s="14"/>
    </row>
    <row r="6" spans="1:9" x14ac:dyDescent="0.3">
      <c r="A6" s="15" t="s">
        <v>28</v>
      </c>
      <c r="B6" s="25" t="s">
        <v>27</v>
      </c>
      <c r="C6" s="25"/>
      <c r="D6" s="25"/>
      <c r="E6" s="14"/>
      <c r="F6" s="14"/>
    </row>
    <row r="7" spans="1:9" ht="28.8" x14ac:dyDescent="0.3">
      <c r="A7" s="15" t="s">
        <v>29</v>
      </c>
      <c r="B7" s="25" t="s">
        <v>31</v>
      </c>
      <c r="C7" s="25"/>
      <c r="D7" s="25"/>
      <c r="E7" s="14"/>
      <c r="F7" s="14"/>
    </row>
    <row r="8" spans="1:9" ht="57.6" customHeight="1" x14ac:dyDescent="0.3">
      <c r="A8" s="15" t="s">
        <v>26</v>
      </c>
      <c r="B8" s="25" t="s">
        <v>30</v>
      </c>
      <c r="C8" s="25"/>
      <c r="D8" s="25"/>
      <c r="E8" s="14"/>
      <c r="F8" s="14"/>
    </row>
    <row r="10" spans="1:9" s="4" customFormat="1" x14ac:dyDescent="0.3">
      <c r="A10" s="7" t="s">
        <v>0</v>
      </c>
      <c r="B10" s="7" t="s">
        <v>1</v>
      </c>
      <c r="C10" s="7" t="s">
        <v>2</v>
      </c>
      <c r="D10" s="8" t="s">
        <v>33</v>
      </c>
      <c r="E10" s="7" t="s">
        <v>3</v>
      </c>
      <c r="F10" s="7" t="s">
        <v>4</v>
      </c>
      <c r="H10" s="22" t="s">
        <v>20</v>
      </c>
      <c r="I10" s="23"/>
    </row>
    <row r="11" spans="1:9" x14ac:dyDescent="0.3">
      <c r="A11" s="9" t="s">
        <v>5</v>
      </c>
      <c r="B11" s="9">
        <v>47</v>
      </c>
      <c r="C11" s="9" t="s">
        <v>7</v>
      </c>
      <c r="D11" s="10" t="s">
        <v>7</v>
      </c>
      <c r="E11" s="9">
        <v>3611470</v>
      </c>
      <c r="F11" s="9">
        <v>338.5</v>
      </c>
      <c r="H11" s="13" t="s">
        <v>34</v>
      </c>
      <c r="I11" s="9">
        <f>COUNTIF(C:C, "SAT")</f>
        <v>44</v>
      </c>
    </row>
    <row r="12" spans="1:9" x14ac:dyDescent="0.3">
      <c r="A12" s="9" t="s">
        <v>9</v>
      </c>
      <c r="B12" s="9">
        <v>33</v>
      </c>
      <c r="C12" s="9" t="s">
        <v>6</v>
      </c>
      <c r="D12" s="10" t="s">
        <v>7</v>
      </c>
      <c r="E12" s="9">
        <v>104576</v>
      </c>
      <c r="F12" s="9">
        <v>2198.6</v>
      </c>
      <c r="H12" s="13" t="s">
        <v>35</v>
      </c>
      <c r="I12" s="9">
        <f>COUNTIF(C:C, "UNSAT")</f>
        <v>9</v>
      </c>
    </row>
    <row r="13" spans="1:9" x14ac:dyDescent="0.3">
      <c r="A13" s="9" t="s">
        <v>9</v>
      </c>
      <c r="B13" s="9">
        <v>34</v>
      </c>
      <c r="C13" s="9" t="s">
        <v>6</v>
      </c>
      <c r="D13" s="10" t="s">
        <v>7</v>
      </c>
      <c r="E13" s="9">
        <v>2769856</v>
      </c>
      <c r="F13" s="9">
        <v>2569.4</v>
      </c>
      <c r="H13" s="13" t="s">
        <v>22</v>
      </c>
      <c r="I13" s="9">
        <f>COUNTIF(C:C, "SAT") + COUNTIF(C:C, "UNSAT")</f>
        <v>53</v>
      </c>
    </row>
    <row r="14" spans="1:9" x14ac:dyDescent="0.3">
      <c r="A14" s="9" t="s">
        <v>9</v>
      </c>
      <c r="B14" s="9">
        <v>35</v>
      </c>
      <c r="C14" s="9" t="s">
        <v>7</v>
      </c>
      <c r="D14" s="10" t="s">
        <v>7</v>
      </c>
      <c r="E14" s="9">
        <v>3611333</v>
      </c>
      <c r="F14" s="9">
        <v>2308.3000000000002</v>
      </c>
      <c r="H14" s="13" t="s">
        <v>23</v>
      </c>
      <c r="I14" s="9">
        <f>COUNTIF(C:C, "-")</f>
        <v>51</v>
      </c>
    </row>
    <row r="15" spans="1:9" x14ac:dyDescent="0.3">
      <c r="A15" s="9" t="s">
        <v>9</v>
      </c>
      <c r="B15" s="9">
        <v>36</v>
      </c>
      <c r="C15" s="9" t="s">
        <v>7</v>
      </c>
      <c r="D15" s="10" t="s">
        <v>7</v>
      </c>
      <c r="E15" s="9">
        <v>3611509</v>
      </c>
      <c r="F15" s="9">
        <v>2309.1</v>
      </c>
      <c r="H15" s="13" t="s">
        <v>36</v>
      </c>
      <c r="I15" s="9">
        <f>COUNTIF(D:D, "SAT")</f>
        <v>9</v>
      </c>
    </row>
    <row r="16" spans="1:9" x14ac:dyDescent="0.3">
      <c r="A16" s="9" t="s">
        <v>9</v>
      </c>
      <c r="B16" s="9">
        <v>37</v>
      </c>
      <c r="C16" s="9" t="s">
        <v>7</v>
      </c>
      <c r="D16" s="10" t="s">
        <v>7</v>
      </c>
      <c r="E16" s="9">
        <v>3611611</v>
      </c>
      <c r="F16" s="9">
        <v>2355.3000000000002</v>
      </c>
      <c r="H16" s="13" t="s">
        <v>37</v>
      </c>
      <c r="I16" s="9">
        <f>COUNTIF(D:D, "UNSAT")</f>
        <v>1</v>
      </c>
    </row>
    <row r="17" spans="1:9" x14ac:dyDescent="0.3">
      <c r="A17" s="9" t="s">
        <v>9</v>
      </c>
      <c r="B17" s="9">
        <v>38</v>
      </c>
      <c r="C17" s="9" t="s">
        <v>7</v>
      </c>
      <c r="D17" s="10" t="s">
        <v>7</v>
      </c>
      <c r="E17" s="9">
        <v>3611493</v>
      </c>
      <c r="F17" s="9">
        <v>2329.4</v>
      </c>
      <c r="H17" s="13" t="s">
        <v>17</v>
      </c>
      <c r="I17" s="9">
        <f xml:space="preserve"> I13+I14</f>
        <v>104</v>
      </c>
    </row>
    <row r="18" spans="1:9" x14ac:dyDescent="0.3">
      <c r="A18" s="9" t="s">
        <v>9</v>
      </c>
      <c r="B18" s="9">
        <v>39</v>
      </c>
      <c r="C18" s="9" t="s">
        <v>7</v>
      </c>
      <c r="D18" s="10" t="s">
        <v>7</v>
      </c>
      <c r="E18" s="9">
        <v>3611657</v>
      </c>
      <c r="F18" s="9">
        <v>2308.1</v>
      </c>
    </row>
    <row r="19" spans="1:9" x14ac:dyDescent="0.3">
      <c r="A19" s="9" t="s">
        <v>9</v>
      </c>
      <c r="B19" s="9">
        <v>40</v>
      </c>
      <c r="C19" s="9" t="s">
        <v>8</v>
      </c>
      <c r="D19" s="10" t="s">
        <v>7</v>
      </c>
      <c r="E19" s="9">
        <v>2944374</v>
      </c>
      <c r="F19" s="9">
        <v>2356.1999999999998</v>
      </c>
    </row>
    <row r="20" spans="1:9" x14ac:dyDescent="0.3">
      <c r="A20" s="9" t="s">
        <v>9</v>
      </c>
      <c r="B20" s="9">
        <v>41</v>
      </c>
      <c r="C20" s="9" t="s">
        <v>7</v>
      </c>
      <c r="D20" s="10" t="s">
        <v>8</v>
      </c>
      <c r="E20" s="9">
        <v>3611528</v>
      </c>
      <c r="F20" s="9">
        <v>2373.1999999999998</v>
      </c>
    </row>
    <row r="21" spans="1:9" x14ac:dyDescent="0.3">
      <c r="A21" s="9" t="s">
        <v>9</v>
      </c>
      <c r="B21" s="9">
        <v>42</v>
      </c>
      <c r="C21" s="9" t="s">
        <v>8</v>
      </c>
      <c r="D21" s="10" t="s">
        <v>7</v>
      </c>
      <c r="E21" s="9">
        <v>553582</v>
      </c>
      <c r="F21" s="9">
        <v>2279.1</v>
      </c>
    </row>
    <row r="22" spans="1:9" x14ac:dyDescent="0.3">
      <c r="A22" s="9" t="s">
        <v>11</v>
      </c>
      <c r="B22" s="9">
        <v>88</v>
      </c>
      <c r="C22" s="9" t="s">
        <v>6</v>
      </c>
      <c r="D22" s="10" t="s">
        <v>7</v>
      </c>
      <c r="E22" s="9">
        <v>556783</v>
      </c>
      <c r="F22" s="9">
        <v>1689.2</v>
      </c>
    </row>
    <row r="23" spans="1:9" x14ac:dyDescent="0.3">
      <c r="A23" s="9" t="s">
        <v>11</v>
      </c>
      <c r="B23" s="9">
        <v>89</v>
      </c>
      <c r="C23" s="9" t="s">
        <v>7</v>
      </c>
      <c r="D23" s="10" t="s">
        <v>6</v>
      </c>
      <c r="E23" s="9">
        <v>3611431</v>
      </c>
      <c r="F23" s="9">
        <v>1866.2</v>
      </c>
    </row>
    <row r="24" spans="1:9" x14ac:dyDescent="0.3">
      <c r="A24" s="9" t="s">
        <v>11</v>
      </c>
      <c r="B24" s="9">
        <v>90</v>
      </c>
      <c r="C24" s="9" t="s">
        <v>6</v>
      </c>
      <c r="D24" s="10" t="s">
        <v>7</v>
      </c>
      <c r="E24" s="9">
        <v>2834631</v>
      </c>
      <c r="F24" s="9">
        <v>2291.1999999999998</v>
      </c>
    </row>
    <row r="25" spans="1:9" x14ac:dyDescent="0.3">
      <c r="A25" s="9" t="s">
        <v>11</v>
      </c>
      <c r="B25" s="9">
        <v>91</v>
      </c>
      <c r="C25" s="9" t="s">
        <v>6</v>
      </c>
      <c r="D25" s="10" t="s">
        <v>7</v>
      </c>
      <c r="E25" s="9">
        <v>3180168</v>
      </c>
      <c r="F25" s="9">
        <v>1759.7</v>
      </c>
    </row>
    <row r="26" spans="1:9" x14ac:dyDescent="0.3">
      <c r="A26" s="9" t="s">
        <v>11</v>
      </c>
      <c r="B26" s="9">
        <v>92</v>
      </c>
      <c r="C26" s="9" t="s">
        <v>7</v>
      </c>
      <c r="D26" s="10" t="s">
        <v>6</v>
      </c>
      <c r="E26" s="9">
        <v>3611895</v>
      </c>
      <c r="F26" s="9">
        <v>1769</v>
      </c>
    </row>
    <row r="27" spans="1:9" x14ac:dyDescent="0.3">
      <c r="A27" s="9" t="s">
        <v>11</v>
      </c>
      <c r="B27" s="9">
        <v>93</v>
      </c>
      <c r="C27" s="9" t="s">
        <v>6</v>
      </c>
      <c r="D27" s="10" t="s">
        <v>7</v>
      </c>
      <c r="E27" s="9">
        <v>2218396</v>
      </c>
      <c r="F27" s="9">
        <v>1763</v>
      </c>
    </row>
    <row r="28" spans="1:9" x14ac:dyDescent="0.3">
      <c r="A28" s="9" t="s">
        <v>11</v>
      </c>
      <c r="B28" s="9">
        <v>94</v>
      </c>
      <c r="C28" s="9" t="s">
        <v>7</v>
      </c>
      <c r="D28" s="10" t="s">
        <v>6</v>
      </c>
      <c r="E28" s="9">
        <v>3612062</v>
      </c>
      <c r="F28" s="9">
        <v>2074.6999999999998</v>
      </c>
    </row>
    <row r="29" spans="1:9" x14ac:dyDescent="0.3">
      <c r="A29" s="9" t="s">
        <v>11</v>
      </c>
      <c r="B29" s="9">
        <v>95</v>
      </c>
      <c r="C29" s="9" t="s">
        <v>6</v>
      </c>
      <c r="D29" s="10" t="s">
        <v>7</v>
      </c>
      <c r="E29" s="9">
        <v>2030864</v>
      </c>
      <c r="F29" s="9">
        <v>1801.2</v>
      </c>
    </row>
    <row r="30" spans="1:9" x14ac:dyDescent="0.3">
      <c r="A30" s="9" t="s">
        <v>11</v>
      </c>
      <c r="B30" s="9">
        <v>96</v>
      </c>
      <c r="C30" s="9" t="s">
        <v>7</v>
      </c>
      <c r="D30" s="10" t="s">
        <v>7</v>
      </c>
      <c r="E30" s="9">
        <v>3611581</v>
      </c>
      <c r="F30" s="9">
        <v>1877.4</v>
      </c>
    </row>
    <row r="31" spans="1:9" x14ac:dyDescent="0.3">
      <c r="A31" s="9" t="s">
        <v>11</v>
      </c>
      <c r="B31" s="9">
        <v>97</v>
      </c>
      <c r="C31" s="9" t="s">
        <v>7</v>
      </c>
      <c r="D31" s="10" t="s">
        <v>7</v>
      </c>
      <c r="E31" s="9">
        <v>3612094</v>
      </c>
      <c r="F31" s="9">
        <v>1820.4</v>
      </c>
    </row>
    <row r="32" spans="1:9" x14ac:dyDescent="0.3">
      <c r="A32" s="9" t="s">
        <v>11</v>
      </c>
      <c r="B32" s="9">
        <v>98</v>
      </c>
      <c r="C32" s="9" t="s">
        <v>7</v>
      </c>
      <c r="D32" s="10" t="s">
        <v>7</v>
      </c>
      <c r="E32" s="9">
        <v>3611812</v>
      </c>
      <c r="F32" s="9">
        <v>2007.2</v>
      </c>
    </row>
    <row r="33" spans="1:6" x14ac:dyDescent="0.3">
      <c r="A33" s="9" t="s">
        <v>11</v>
      </c>
      <c r="B33" s="9">
        <v>99</v>
      </c>
      <c r="C33" s="9" t="s">
        <v>7</v>
      </c>
      <c r="D33" s="10" t="s">
        <v>7</v>
      </c>
      <c r="E33" s="9">
        <v>3611877</v>
      </c>
      <c r="F33" s="9">
        <v>1876.1</v>
      </c>
    </row>
    <row r="34" spans="1:6" x14ac:dyDescent="0.3">
      <c r="A34" s="9" t="s">
        <v>11</v>
      </c>
      <c r="B34" s="9">
        <v>100</v>
      </c>
      <c r="C34" s="9" t="s">
        <v>7</v>
      </c>
      <c r="D34" s="10" t="s">
        <v>7</v>
      </c>
      <c r="E34" s="9">
        <v>3611728</v>
      </c>
      <c r="F34" s="9">
        <v>1777.6</v>
      </c>
    </row>
    <row r="35" spans="1:6" x14ac:dyDescent="0.3">
      <c r="A35" s="9" t="s">
        <v>11</v>
      </c>
      <c r="B35" s="9">
        <v>105</v>
      </c>
      <c r="C35" s="9" t="s">
        <v>7</v>
      </c>
      <c r="D35" s="10" t="s">
        <v>7</v>
      </c>
      <c r="E35" s="9">
        <v>3611853</v>
      </c>
      <c r="F35" s="9">
        <v>1798</v>
      </c>
    </row>
    <row r="36" spans="1:6" x14ac:dyDescent="0.3">
      <c r="A36" s="11" t="s">
        <v>11</v>
      </c>
      <c r="B36" s="11">
        <v>106</v>
      </c>
      <c r="C36" s="9" t="s">
        <v>7</v>
      </c>
      <c r="D36" s="10" t="s">
        <v>7</v>
      </c>
      <c r="E36" s="9">
        <v>3611970</v>
      </c>
      <c r="F36" s="9">
        <v>1882.9</v>
      </c>
    </row>
    <row r="37" spans="1:6" x14ac:dyDescent="0.3">
      <c r="A37" s="11" t="s">
        <v>11</v>
      </c>
      <c r="B37" s="11">
        <v>107</v>
      </c>
      <c r="C37" s="9" t="s">
        <v>7</v>
      </c>
      <c r="D37" s="10" t="s">
        <v>7</v>
      </c>
      <c r="E37" s="9">
        <v>3611884</v>
      </c>
      <c r="F37" s="9">
        <v>1838.1</v>
      </c>
    </row>
    <row r="38" spans="1:6" x14ac:dyDescent="0.3">
      <c r="A38" s="12" t="s">
        <v>11</v>
      </c>
      <c r="B38" s="12">
        <v>108</v>
      </c>
      <c r="C38" s="9" t="s">
        <v>7</v>
      </c>
      <c r="D38" s="10" t="s">
        <v>7</v>
      </c>
      <c r="E38" s="9">
        <v>3611972</v>
      </c>
      <c r="F38" s="9">
        <v>1866.9</v>
      </c>
    </row>
    <row r="39" spans="1:6" x14ac:dyDescent="0.3">
      <c r="A39" s="9" t="s">
        <v>11</v>
      </c>
      <c r="B39" s="9">
        <v>109</v>
      </c>
      <c r="C39" s="9" t="s">
        <v>7</v>
      </c>
      <c r="D39" s="10" t="s">
        <v>7</v>
      </c>
      <c r="E39" s="9">
        <v>3612035</v>
      </c>
      <c r="F39" s="9">
        <v>1804</v>
      </c>
    </row>
    <row r="40" spans="1:6" x14ac:dyDescent="0.3">
      <c r="A40" s="9" t="s">
        <v>11</v>
      </c>
      <c r="B40" s="9">
        <v>110</v>
      </c>
      <c r="C40" s="9" t="s">
        <v>8</v>
      </c>
      <c r="D40" s="10" t="s">
        <v>7</v>
      </c>
      <c r="E40" s="9">
        <v>1202776</v>
      </c>
      <c r="F40" s="9">
        <v>1868</v>
      </c>
    </row>
    <row r="41" spans="1:6" x14ac:dyDescent="0.3">
      <c r="A41" s="9" t="s">
        <v>11</v>
      </c>
      <c r="B41" s="9">
        <v>111</v>
      </c>
      <c r="C41" s="9" t="s">
        <v>8</v>
      </c>
      <c r="D41" s="10" t="s">
        <v>7</v>
      </c>
      <c r="E41" s="9">
        <v>95111</v>
      </c>
      <c r="F41" s="9">
        <v>1629.7</v>
      </c>
    </row>
    <row r="42" spans="1:6" x14ac:dyDescent="0.3">
      <c r="A42" s="9" t="s">
        <v>12</v>
      </c>
      <c r="B42" s="9">
        <v>227</v>
      </c>
      <c r="C42" s="9" t="s">
        <v>6</v>
      </c>
      <c r="D42" s="10" t="s">
        <v>7</v>
      </c>
      <c r="E42" s="9">
        <v>2281355</v>
      </c>
      <c r="F42" s="9">
        <v>2374.5</v>
      </c>
    </row>
    <row r="43" spans="1:6" x14ac:dyDescent="0.3">
      <c r="A43" s="9" t="s">
        <v>12</v>
      </c>
      <c r="B43" s="9">
        <v>228</v>
      </c>
      <c r="C43" s="9" t="s">
        <v>6</v>
      </c>
      <c r="D43" s="10" t="s">
        <v>7</v>
      </c>
      <c r="E43" s="9">
        <v>296814</v>
      </c>
      <c r="F43" s="9">
        <v>1998</v>
      </c>
    </row>
    <row r="44" spans="1:6" x14ac:dyDescent="0.3">
      <c r="A44" s="9" t="s">
        <v>12</v>
      </c>
      <c r="B44" s="9">
        <v>229</v>
      </c>
      <c r="C44" s="9" t="s">
        <v>7</v>
      </c>
      <c r="D44" s="10" t="s">
        <v>6</v>
      </c>
      <c r="E44" s="9">
        <v>3612133</v>
      </c>
      <c r="F44" s="9">
        <v>2586.9</v>
      </c>
    </row>
    <row r="45" spans="1:6" x14ac:dyDescent="0.3">
      <c r="A45" s="9" t="s">
        <v>12</v>
      </c>
      <c r="B45" s="9">
        <v>230</v>
      </c>
      <c r="C45" s="9" t="s">
        <v>6</v>
      </c>
      <c r="D45" s="10" t="s">
        <v>7</v>
      </c>
      <c r="E45" s="9">
        <v>2383193</v>
      </c>
      <c r="F45" s="9">
        <v>2500.3000000000002</v>
      </c>
    </row>
    <row r="46" spans="1:6" x14ac:dyDescent="0.3">
      <c r="A46" s="9" t="s">
        <v>12</v>
      </c>
      <c r="B46" s="9">
        <v>231</v>
      </c>
      <c r="C46" s="9" t="s">
        <v>6</v>
      </c>
      <c r="D46" s="10" t="s">
        <v>7</v>
      </c>
      <c r="E46" s="9">
        <v>1233761</v>
      </c>
      <c r="F46" s="9">
        <v>2360.1999999999998</v>
      </c>
    </row>
    <row r="47" spans="1:6" x14ac:dyDescent="0.3">
      <c r="A47" s="9" t="s">
        <v>12</v>
      </c>
      <c r="B47" s="9">
        <v>232</v>
      </c>
      <c r="C47" s="9" t="s">
        <v>6</v>
      </c>
      <c r="D47" s="10" t="s">
        <v>7</v>
      </c>
      <c r="E47" s="9">
        <v>843766</v>
      </c>
      <c r="F47" s="9">
        <v>2031.3</v>
      </c>
    </row>
    <row r="48" spans="1:6" x14ac:dyDescent="0.3">
      <c r="A48" s="9" t="s">
        <v>12</v>
      </c>
      <c r="B48" s="9">
        <v>233</v>
      </c>
      <c r="C48" s="9" t="s">
        <v>7</v>
      </c>
      <c r="D48" s="10" t="s">
        <v>7</v>
      </c>
      <c r="E48" s="9">
        <v>3612267</v>
      </c>
      <c r="F48" s="9">
        <v>2470.9</v>
      </c>
    </row>
    <row r="49" spans="1:8" x14ac:dyDescent="0.3">
      <c r="A49" s="9" t="s">
        <v>12</v>
      </c>
      <c r="B49" s="9">
        <v>234</v>
      </c>
      <c r="C49" s="9" t="s">
        <v>7</v>
      </c>
      <c r="D49" s="10" t="s">
        <v>7</v>
      </c>
      <c r="E49" s="9">
        <v>3612008</v>
      </c>
      <c r="F49" s="9">
        <v>2395.5</v>
      </c>
    </row>
    <row r="50" spans="1:8" x14ac:dyDescent="0.3">
      <c r="A50" s="9" t="s">
        <v>12</v>
      </c>
      <c r="B50" s="9">
        <v>235</v>
      </c>
      <c r="C50" s="9" t="s">
        <v>7</v>
      </c>
      <c r="D50" s="10" t="s">
        <v>7</v>
      </c>
      <c r="E50" s="9">
        <v>3612051</v>
      </c>
      <c r="F50" s="9">
        <v>2594.6</v>
      </c>
    </row>
    <row r="51" spans="1:8" x14ac:dyDescent="0.3">
      <c r="A51" s="9" t="s">
        <v>12</v>
      </c>
      <c r="B51" s="9">
        <v>268</v>
      </c>
      <c r="C51" s="9" t="s">
        <v>7</v>
      </c>
      <c r="D51" s="10" t="s">
        <v>7</v>
      </c>
      <c r="E51" s="9">
        <v>3609953</v>
      </c>
      <c r="F51" s="9">
        <v>2404</v>
      </c>
    </row>
    <row r="52" spans="1:8" x14ac:dyDescent="0.3">
      <c r="A52" s="9" t="s">
        <v>12</v>
      </c>
      <c r="B52" s="9">
        <v>269</v>
      </c>
      <c r="C52" s="9" t="s">
        <v>7</v>
      </c>
      <c r="D52" s="10" t="s">
        <v>7</v>
      </c>
      <c r="E52" s="9">
        <v>3609919</v>
      </c>
      <c r="F52" s="9">
        <v>2380.9</v>
      </c>
    </row>
    <row r="53" spans="1:8" x14ac:dyDescent="0.3">
      <c r="A53" s="9" t="s">
        <v>12</v>
      </c>
      <c r="B53" s="9">
        <v>270</v>
      </c>
      <c r="C53" s="9" t="s">
        <v>8</v>
      </c>
      <c r="D53" s="10" t="s">
        <v>7</v>
      </c>
      <c r="E53" s="9">
        <v>2696252</v>
      </c>
      <c r="F53" s="9">
        <v>2414.4</v>
      </c>
    </row>
    <row r="54" spans="1:8" x14ac:dyDescent="0.3">
      <c r="A54" s="9" t="s">
        <v>12</v>
      </c>
      <c r="B54" s="9">
        <v>271</v>
      </c>
      <c r="C54" s="9" t="s">
        <v>8</v>
      </c>
      <c r="D54" s="10" t="s">
        <v>7</v>
      </c>
      <c r="E54" s="9">
        <v>322007</v>
      </c>
      <c r="F54" s="9">
        <v>2160.1999999999998</v>
      </c>
    </row>
    <row r="55" spans="1:8" x14ac:dyDescent="0.3">
      <c r="A55" s="9" t="s">
        <v>13</v>
      </c>
      <c r="B55" s="9">
        <v>113</v>
      </c>
      <c r="C55" s="9" t="s">
        <v>7</v>
      </c>
      <c r="D55" s="10" t="s">
        <v>6</v>
      </c>
      <c r="E55" s="9">
        <v>3610307</v>
      </c>
      <c r="F55" s="9">
        <v>3002</v>
      </c>
      <c r="H55" s="5"/>
    </row>
    <row r="56" spans="1:8" x14ac:dyDescent="0.3">
      <c r="A56" s="9" t="s">
        <v>13</v>
      </c>
      <c r="B56" s="9">
        <v>114</v>
      </c>
      <c r="C56" s="9" t="s">
        <v>6</v>
      </c>
      <c r="D56" s="10" t="s">
        <v>7</v>
      </c>
      <c r="E56" s="9">
        <v>3355692</v>
      </c>
      <c r="F56" s="9">
        <v>4330.2</v>
      </c>
    </row>
    <row r="57" spans="1:8" x14ac:dyDescent="0.3">
      <c r="A57" s="9" t="s">
        <v>13</v>
      </c>
      <c r="B57" s="9">
        <v>115</v>
      </c>
      <c r="C57" s="9" t="s">
        <v>7</v>
      </c>
      <c r="D57" s="10" t="s">
        <v>6</v>
      </c>
      <c r="E57" s="9">
        <v>3610179</v>
      </c>
      <c r="F57" s="9">
        <v>2987.2</v>
      </c>
    </row>
    <row r="58" spans="1:8" x14ac:dyDescent="0.3">
      <c r="A58" s="9" t="s">
        <v>13</v>
      </c>
      <c r="B58" s="9">
        <v>116</v>
      </c>
      <c r="C58" s="9" t="s">
        <v>6</v>
      </c>
      <c r="D58" s="10" t="s">
        <v>7</v>
      </c>
      <c r="E58" s="9">
        <v>3205372</v>
      </c>
      <c r="F58" s="9">
        <v>3002.6</v>
      </c>
    </row>
    <row r="59" spans="1:8" x14ac:dyDescent="0.3">
      <c r="A59" s="9" t="s">
        <v>13</v>
      </c>
      <c r="B59" s="9">
        <v>117</v>
      </c>
      <c r="C59" s="9" t="s">
        <v>7</v>
      </c>
      <c r="D59" s="10" t="s">
        <v>7</v>
      </c>
      <c r="E59" s="9">
        <v>3610514</v>
      </c>
      <c r="F59" s="9">
        <v>3266.8</v>
      </c>
    </row>
    <row r="60" spans="1:8" x14ac:dyDescent="0.3">
      <c r="A60" s="9" t="s">
        <v>13</v>
      </c>
      <c r="B60" s="9">
        <v>118</v>
      </c>
      <c r="C60" s="9" t="s">
        <v>7</v>
      </c>
      <c r="D60" s="10" t="s">
        <v>7</v>
      </c>
      <c r="E60" s="9">
        <v>3610164</v>
      </c>
      <c r="F60" s="9">
        <v>3031.5</v>
      </c>
    </row>
    <row r="61" spans="1:8" x14ac:dyDescent="0.3">
      <c r="A61" s="9" t="s">
        <v>13</v>
      </c>
      <c r="B61" s="9">
        <v>119</v>
      </c>
      <c r="C61" s="9" t="s">
        <v>7</v>
      </c>
      <c r="D61" s="10" t="s">
        <v>7</v>
      </c>
      <c r="E61" s="9">
        <v>3610177</v>
      </c>
      <c r="F61" s="9">
        <v>2961.9</v>
      </c>
    </row>
    <row r="62" spans="1:8" x14ac:dyDescent="0.3">
      <c r="A62" s="9" t="s">
        <v>13</v>
      </c>
      <c r="B62" s="9">
        <v>120</v>
      </c>
      <c r="C62" s="9" t="s">
        <v>7</v>
      </c>
      <c r="D62" s="10" t="s">
        <v>7</v>
      </c>
      <c r="E62" s="9">
        <v>3609533</v>
      </c>
      <c r="F62" s="9">
        <v>3057.6</v>
      </c>
    </row>
    <row r="63" spans="1:8" x14ac:dyDescent="0.3">
      <c r="A63" s="9" t="s">
        <v>13</v>
      </c>
      <c r="B63" s="9">
        <v>145</v>
      </c>
      <c r="C63" s="9" t="s">
        <v>7</v>
      </c>
      <c r="D63" s="10" t="s">
        <v>7</v>
      </c>
      <c r="E63" s="9">
        <v>3610099</v>
      </c>
      <c r="F63" s="9">
        <v>3059.4</v>
      </c>
    </row>
    <row r="64" spans="1:8" x14ac:dyDescent="0.3">
      <c r="A64" s="9" t="s">
        <v>13</v>
      </c>
      <c r="B64" s="9">
        <v>146</v>
      </c>
      <c r="C64" s="9" t="s">
        <v>7</v>
      </c>
      <c r="D64" s="10" t="s">
        <v>7</v>
      </c>
      <c r="E64" s="9">
        <v>3609827</v>
      </c>
      <c r="F64" s="9">
        <v>3021.5</v>
      </c>
    </row>
    <row r="65" spans="1:6" x14ac:dyDescent="0.3">
      <c r="A65" s="9" t="s">
        <v>13</v>
      </c>
      <c r="B65" s="9">
        <v>147</v>
      </c>
      <c r="C65" s="9" t="s">
        <v>8</v>
      </c>
      <c r="D65" s="10" t="s">
        <v>7</v>
      </c>
      <c r="E65" s="9">
        <v>654221</v>
      </c>
      <c r="F65" s="9">
        <v>2934.6</v>
      </c>
    </row>
    <row r="66" spans="1:6" x14ac:dyDescent="0.3">
      <c r="A66" s="9" t="s">
        <v>14</v>
      </c>
      <c r="B66" s="9">
        <v>272</v>
      </c>
      <c r="C66" s="9" t="s">
        <v>6</v>
      </c>
      <c r="D66" s="10" t="s">
        <v>7</v>
      </c>
      <c r="E66" s="9">
        <v>1055593</v>
      </c>
      <c r="F66" s="9">
        <v>3027</v>
      </c>
    </row>
    <row r="67" spans="1:6" x14ac:dyDescent="0.3">
      <c r="A67" s="9" t="s">
        <v>14</v>
      </c>
      <c r="B67" s="9">
        <v>273</v>
      </c>
      <c r="C67" s="9" t="s">
        <v>6</v>
      </c>
      <c r="D67" s="10" t="s">
        <v>7</v>
      </c>
      <c r="E67" s="9">
        <v>1345806</v>
      </c>
      <c r="F67" s="9">
        <v>3028</v>
      </c>
    </row>
    <row r="68" spans="1:6" x14ac:dyDescent="0.3">
      <c r="A68" s="9" t="s">
        <v>14</v>
      </c>
      <c r="B68" s="9">
        <v>274</v>
      </c>
      <c r="C68" s="9" t="s">
        <v>6</v>
      </c>
      <c r="D68" s="10" t="s">
        <v>7</v>
      </c>
      <c r="E68" s="9">
        <v>909518</v>
      </c>
      <c r="F68" s="9">
        <v>3025.1</v>
      </c>
    </row>
    <row r="69" spans="1:6" x14ac:dyDescent="0.3">
      <c r="A69" s="9" t="s">
        <v>14</v>
      </c>
      <c r="B69" s="9">
        <v>275</v>
      </c>
      <c r="C69" s="9" t="s">
        <v>6</v>
      </c>
      <c r="D69" s="10" t="s">
        <v>7</v>
      </c>
      <c r="E69" s="9">
        <v>780815</v>
      </c>
      <c r="F69" s="9">
        <v>3031.7</v>
      </c>
    </row>
    <row r="70" spans="1:6" x14ac:dyDescent="0.3">
      <c r="A70" s="9" t="s">
        <v>14</v>
      </c>
      <c r="B70" s="9">
        <v>276</v>
      </c>
      <c r="C70" s="9" t="s">
        <v>6</v>
      </c>
      <c r="D70" s="10" t="s">
        <v>7</v>
      </c>
      <c r="E70" s="9">
        <v>629301</v>
      </c>
      <c r="F70" s="9">
        <v>3012.4</v>
      </c>
    </row>
    <row r="71" spans="1:6" x14ac:dyDescent="0.3">
      <c r="A71" s="9" t="s">
        <v>14</v>
      </c>
      <c r="B71" s="9">
        <v>277</v>
      </c>
      <c r="C71" s="9" t="s">
        <v>6</v>
      </c>
      <c r="D71" s="10" t="s">
        <v>7</v>
      </c>
      <c r="E71" s="9">
        <v>715343</v>
      </c>
      <c r="F71" s="9">
        <v>3043.4</v>
      </c>
    </row>
    <row r="72" spans="1:6" x14ac:dyDescent="0.3">
      <c r="A72" s="9" t="s">
        <v>14</v>
      </c>
      <c r="B72" s="9">
        <v>278</v>
      </c>
      <c r="C72" s="9" t="s">
        <v>6</v>
      </c>
      <c r="D72" s="10" t="s">
        <v>7</v>
      </c>
      <c r="E72" s="9">
        <v>1116036</v>
      </c>
      <c r="F72" s="9">
        <v>3269.7</v>
      </c>
    </row>
    <row r="73" spans="1:6" x14ac:dyDescent="0.3">
      <c r="A73" s="9" t="s">
        <v>14</v>
      </c>
      <c r="B73" s="9">
        <v>279</v>
      </c>
      <c r="C73" s="9" t="s">
        <v>6</v>
      </c>
      <c r="D73" s="10" t="s">
        <v>7</v>
      </c>
      <c r="E73" s="9">
        <v>1207021</v>
      </c>
      <c r="F73" s="9">
        <v>3034.4</v>
      </c>
    </row>
    <row r="74" spans="1:6" x14ac:dyDescent="0.3">
      <c r="A74" s="9" t="s">
        <v>14</v>
      </c>
      <c r="B74" s="9">
        <v>280</v>
      </c>
      <c r="C74" s="9" t="s">
        <v>6</v>
      </c>
      <c r="D74" s="10" t="s">
        <v>7</v>
      </c>
      <c r="E74" s="9">
        <v>1218420</v>
      </c>
      <c r="F74" s="9">
        <v>3044.4</v>
      </c>
    </row>
    <row r="75" spans="1:6" x14ac:dyDescent="0.3">
      <c r="A75" s="9" t="s">
        <v>14</v>
      </c>
      <c r="B75" s="9">
        <v>281</v>
      </c>
      <c r="C75" s="9" t="s">
        <v>6</v>
      </c>
      <c r="D75" s="10" t="s">
        <v>7</v>
      </c>
      <c r="E75" s="9">
        <v>1222268</v>
      </c>
      <c r="F75" s="9">
        <v>3038</v>
      </c>
    </row>
    <row r="76" spans="1:6" x14ac:dyDescent="0.3">
      <c r="A76" s="9" t="s">
        <v>14</v>
      </c>
      <c r="B76" s="9">
        <v>282</v>
      </c>
      <c r="C76" s="9" t="s">
        <v>6</v>
      </c>
      <c r="D76" s="10" t="s">
        <v>7</v>
      </c>
      <c r="E76" s="9">
        <v>2906810</v>
      </c>
      <c r="F76" s="9">
        <v>3302.8</v>
      </c>
    </row>
    <row r="77" spans="1:6" x14ac:dyDescent="0.3">
      <c r="A77" s="9" t="s">
        <v>14</v>
      </c>
      <c r="B77" s="9">
        <v>283</v>
      </c>
      <c r="C77" s="9" t="s">
        <v>6</v>
      </c>
      <c r="D77" s="10" t="s">
        <v>7</v>
      </c>
      <c r="E77" s="9">
        <v>2378005</v>
      </c>
      <c r="F77" s="9">
        <v>3363.4</v>
      </c>
    </row>
    <row r="78" spans="1:6" x14ac:dyDescent="0.3">
      <c r="A78" s="9" t="s">
        <v>14</v>
      </c>
      <c r="B78" s="9">
        <v>284</v>
      </c>
      <c r="C78" s="9" t="s">
        <v>6</v>
      </c>
      <c r="D78" s="10" t="s">
        <v>7</v>
      </c>
      <c r="E78" s="9">
        <v>570248</v>
      </c>
      <c r="F78" s="9">
        <v>3055.1</v>
      </c>
    </row>
    <row r="79" spans="1:6" x14ac:dyDescent="0.3">
      <c r="A79" s="9" t="s">
        <v>14</v>
      </c>
      <c r="B79" s="9">
        <v>285</v>
      </c>
      <c r="C79" s="9" t="s">
        <v>6</v>
      </c>
      <c r="D79" s="10" t="s">
        <v>7</v>
      </c>
      <c r="E79" s="9">
        <v>850240</v>
      </c>
      <c r="F79" s="9">
        <v>3041.1</v>
      </c>
    </row>
    <row r="80" spans="1:6" x14ac:dyDescent="0.3">
      <c r="A80" s="9" t="s">
        <v>14</v>
      </c>
      <c r="B80" s="9">
        <v>286</v>
      </c>
      <c r="C80" s="9" t="s">
        <v>6</v>
      </c>
      <c r="D80" s="10" t="s">
        <v>7</v>
      </c>
      <c r="E80" s="9">
        <v>1497030</v>
      </c>
      <c r="F80" s="9">
        <v>3063.2</v>
      </c>
    </row>
    <row r="81" spans="1:8" x14ac:dyDescent="0.3">
      <c r="A81" s="9" t="s">
        <v>14</v>
      </c>
      <c r="B81" s="9">
        <v>288</v>
      </c>
      <c r="C81" s="9" t="s">
        <v>6</v>
      </c>
      <c r="D81" s="10" t="s">
        <v>7</v>
      </c>
      <c r="E81" s="9">
        <v>2318754</v>
      </c>
      <c r="F81" s="9">
        <v>3157.1</v>
      </c>
    </row>
    <row r="82" spans="1:8" x14ac:dyDescent="0.3">
      <c r="A82" s="9" t="s">
        <v>14</v>
      </c>
      <c r="B82" s="9">
        <v>290</v>
      </c>
      <c r="C82" s="9" t="s">
        <v>6</v>
      </c>
      <c r="D82" s="10" t="s">
        <v>7</v>
      </c>
      <c r="E82" s="9">
        <v>2016390</v>
      </c>
      <c r="F82" s="9">
        <v>3206.4</v>
      </c>
    </row>
    <row r="83" spans="1:8" x14ac:dyDescent="0.3">
      <c r="A83" s="9" t="s">
        <v>14</v>
      </c>
      <c r="B83" s="9">
        <v>291</v>
      </c>
      <c r="C83" s="9" t="s">
        <v>6</v>
      </c>
      <c r="D83" s="10" t="s">
        <v>7</v>
      </c>
      <c r="E83" s="9">
        <v>2593299</v>
      </c>
      <c r="F83" s="9">
        <v>3318.3</v>
      </c>
    </row>
    <row r="84" spans="1:8" x14ac:dyDescent="0.3">
      <c r="A84" s="9" t="s">
        <v>14</v>
      </c>
      <c r="B84" s="9">
        <v>296</v>
      </c>
      <c r="C84" s="9" t="s">
        <v>6</v>
      </c>
      <c r="D84" s="10" t="s">
        <v>7</v>
      </c>
      <c r="E84" s="9">
        <v>3507838</v>
      </c>
      <c r="F84" s="9">
        <v>3310.9</v>
      </c>
    </row>
    <row r="85" spans="1:8" x14ac:dyDescent="0.3">
      <c r="A85" s="9" t="s">
        <v>14</v>
      </c>
      <c r="B85" s="9">
        <v>297</v>
      </c>
      <c r="C85" s="9" t="s">
        <v>7</v>
      </c>
      <c r="D85" s="10" t="s">
        <v>7</v>
      </c>
      <c r="E85" s="9">
        <v>3611019</v>
      </c>
      <c r="F85" s="9">
        <v>3402.6</v>
      </c>
    </row>
    <row r="86" spans="1:8" x14ac:dyDescent="0.3">
      <c r="A86" s="9" t="s">
        <v>14</v>
      </c>
      <c r="B86" s="9">
        <v>298</v>
      </c>
      <c r="C86" s="9" t="s">
        <v>7</v>
      </c>
      <c r="D86" s="10" t="s">
        <v>7</v>
      </c>
      <c r="E86" s="9">
        <v>3610936</v>
      </c>
      <c r="F86" s="9">
        <v>3100.3</v>
      </c>
    </row>
    <row r="87" spans="1:8" x14ac:dyDescent="0.3">
      <c r="A87" s="9" t="s">
        <v>14</v>
      </c>
      <c r="B87" s="9">
        <v>299</v>
      </c>
      <c r="C87" s="9" t="s">
        <v>7</v>
      </c>
      <c r="D87" s="10" t="s">
        <v>7</v>
      </c>
      <c r="E87" s="9">
        <v>3611126</v>
      </c>
      <c r="F87" s="9">
        <v>3398.6</v>
      </c>
    </row>
    <row r="88" spans="1:8" x14ac:dyDescent="0.3">
      <c r="A88" s="9" t="s">
        <v>14</v>
      </c>
      <c r="B88" s="9">
        <v>300</v>
      </c>
      <c r="C88" s="9" t="s">
        <v>7</v>
      </c>
      <c r="D88" s="10" t="s">
        <v>7</v>
      </c>
      <c r="E88" s="9">
        <v>3611202</v>
      </c>
      <c r="F88" s="9">
        <v>3768.8</v>
      </c>
    </row>
    <row r="89" spans="1:8" x14ac:dyDescent="0.3">
      <c r="A89" s="9" t="s">
        <v>14</v>
      </c>
      <c r="B89" s="9">
        <v>331</v>
      </c>
      <c r="C89" s="9" t="s">
        <v>7</v>
      </c>
      <c r="D89" s="10" t="s">
        <v>7</v>
      </c>
      <c r="E89" s="9">
        <v>3609918</v>
      </c>
      <c r="F89" s="9">
        <v>3325.4</v>
      </c>
    </row>
    <row r="90" spans="1:8" x14ac:dyDescent="0.3">
      <c r="A90" s="9" t="s">
        <v>14</v>
      </c>
      <c r="B90" s="9">
        <v>332</v>
      </c>
      <c r="C90" s="9" t="s">
        <v>7</v>
      </c>
      <c r="D90" s="10" t="s">
        <v>7</v>
      </c>
      <c r="E90" s="9">
        <v>3610014</v>
      </c>
      <c r="F90" s="9">
        <v>3083.2</v>
      </c>
    </row>
    <row r="91" spans="1:8" x14ac:dyDescent="0.3">
      <c r="A91" s="9" t="s">
        <v>14</v>
      </c>
      <c r="B91" s="9">
        <v>333</v>
      </c>
      <c r="C91" s="9" t="s">
        <v>7</v>
      </c>
      <c r="D91" s="10" t="s">
        <v>7</v>
      </c>
      <c r="E91" s="9">
        <v>3610010</v>
      </c>
      <c r="F91" s="9">
        <v>3384.2</v>
      </c>
    </row>
    <row r="92" spans="1:8" x14ac:dyDescent="0.3">
      <c r="A92" s="9" t="s">
        <v>14</v>
      </c>
      <c r="B92" s="9">
        <v>334</v>
      </c>
      <c r="C92" s="9" t="s">
        <v>7</v>
      </c>
      <c r="D92" s="10" t="s">
        <v>7</v>
      </c>
      <c r="E92" s="9">
        <v>3609803</v>
      </c>
      <c r="F92" s="9">
        <v>3153</v>
      </c>
    </row>
    <row r="93" spans="1:8" x14ac:dyDescent="0.3">
      <c r="A93" s="9" t="s">
        <v>14</v>
      </c>
      <c r="B93" s="9">
        <v>335</v>
      </c>
      <c r="C93" s="9" t="s">
        <v>7</v>
      </c>
      <c r="D93" s="10" t="s">
        <v>7</v>
      </c>
      <c r="E93" s="9">
        <v>3609575</v>
      </c>
      <c r="F93" s="9">
        <v>3501.5</v>
      </c>
    </row>
    <row r="94" spans="1:8" x14ac:dyDescent="0.3">
      <c r="A94" s="9" t="s">
        <v>14</v>
      </c>
      <c r="B94" s="9">
        <v>336</v>
      </c>
      <c r="C94" s="9" t="s">
        <v>8</v>
      </c>
      <c r="D94" s="10" t="s">
        <v>7</v>
      </c>
      <c r="E94" s="9">
        <v>201288</v>
      </c>
      <c r="F94" s="9">
        <v>3004</v>
      </c>
    </row>
    <row r="95" spans="1:8" x14ac:dyDescent="0.3">
      <c r="A95" s="9" t="s">
        <v>15</v>
      </c>
      <c r="B95" s="9">
        <v>101</v>
      </c>
      <c r="C95" s="9" t="s">
        <v>6</v>
      </c>
      <c r="D95" s="10" t="s">
        <v>7</v>
      </c>
      <c r="E95" s="9">
        <v>3439739</v>
      </c>
      <c r="F95" s="9">
        <v>4668.5</v>
      </c>
      <c r="H95" s="5"/>
    </row>
    <row r="96" spans="1:8" x14ac:dyDescent="0.3">
      <c r="A96" s="9" t="s">
        <v>15</v>
      </c>
      <c r="B96" s="9">
        <v>102</v>
      </c>
      <c r="C96" s="9" t="s">
        <v>6</v>
      </c>
      <c r="D96" s="10" t="s">
        <v>7</v>
      </c>
      <c r="E96" s="9">
        <v>1315181</v>
      </c>
      <c r="F96" s="9">
        <v>4034.8</v>
      </c>
      <c r="H96" s="5"/>
    </row>
    <row r="97" spans="1:8" x14ac:dyDescent="0.3">
      <c r="A97" s="9" t="s">
        <v>15</v>
      </c>
      <c r="B97" s="9">
        <v>103</v>
      </c>
      <c r="C97" s="9" t="s">
        <v>6</v>
      </c>
      <c r="D97" s="10" t="s">
        <v>7</v>
      </c>
      <c r="E97" s="9">
        <v>1166073</v>
      </c>
      <c r="F97" s="9">
        <v>4076.6</v>
      </c>
      <c r="H97" s="5"/>
    </row>
    <row r="98" spans="1:8" x14ac:dyDescent="0.3">
      <c r="A98" s="9" t="s">
        <v>15</v>
      </c>
      <c r="B98" s="9">
        <v>104</v>
      </c>
      <c r="C98" s="9" t="s">
        <v>6</v>
      </c>
      <c r="D98" s="10" t="s">
        <v>7</v>
      </c>
      <c r="E98" s="9">
        <v>2364508</v>
      </c>
      <c r="F98" s="9">
        <v>4125.8</v>
      </c>
      <c r="H98" s="5"/>
    </row>
    <row r="99" spans="1:8" x14ac:dyDescent="0.3">
      <c r="A99" s="9" t="s">
        <v>15</v>
      </c>
      <c r="B99" s="9">
        <v>105</v>
      </c>
      <c r="C99" s="9" t="s">
        <v>6</v>
      </c>
      <c r="D99" s="10" t="s">
        <v>7</v>
      </c>
      <c r="E99" s="9">
        <v>2094837</v>
      </c>
      <c r="F99" s="9">
        <v>4426</v>
      </c>
      <c r="H99" s="5"/>
    </row>
    <row r="100" spans="1:8" x14ac:dyDescent="0.3">
      <c r="A100" s="9" t="s">
        <v>15</v>
      </c>
      <c r="B100" s="9">
        <v>106</v>
      </c>
      <c r="C100" s="9" t="s">
        <v>6</v>
      </c>
      <c r="D100" s="10" t="s">
        <v>7</v>
      </c>
      <c r="E100" s="9">
        <v>1676511</v>
      </c>
      <c r="F100" s="9">
        <v>4432.8</v>
      </c>
      <c r="H100" s="5"/>
    </row>
    <row r="101" spans="1:8" x14ac:dyDescent="0.3">
      <c r="A101" s="9" t="s">
        <v>15</v>
      </c>
      <c r="B101" s="9">
        <v>107</v>
      </c>
      <c r="C101" s="9" t="s">
        <v>6</v>
      </c>
      <c r="D101" s="10" t="s">
        <v>7</v>
      </c>
      <c r="E101" s="9">
        <v>845184</v>
      </c>
      <c r="F101" s="9">
        <v>4099</v>
      </c>
      <c r="H101" s="5"/>
    </row>
    <row r="102" spans="1:8" x14ac:dyDescent="0.3">
      <c r="A102" s="9" t="s">
        <v>15</v>
      </c>
      <c r="B102" s="9">
        <v>108</v>
      </c>
      <c r="C102" s="9" t="s">
        <v>7</v>
      </c>
      <c r="D102" s="10" t="s">
        <v>6</v>
      </c>
      <c r="E102" s="9">
        <v>3609925</v>
      </c>
      <c r="F102" s="9">
        <v>4556.8999999999996</v>
      </c>
      <c r="H102" s="5"/>
    </row>
    <row r="103" spans="1:8" x14ac:dyDescent="0.3">
      <c r="A103" s="9" t="s">
        <v>15</v>
      </c>
      <c r="B103" s="9">
        <v>109</v>
      </c>
      <c r="C103" s="9" t="s">
        <v>6</v>
      </c>
      <c r="D103" s="10" t="s">
        <v>7</v>
      </c>
      <c r="E103" s="9">
        <v>1971606</v>
      </c>
      <c r="F103" s="9">
        <v>4433.5</v>
      </c>
      <c r="H103" s="5"/>
    </row>
    <row r="104" spans="1:8" x14ac:dyDescent="0.3">
      <c r="A104" s="9" t="s">
        <v>15</v>
      </c>
      <c r="B104" s="9">
        <v>110</v>
      </c>
      <c r="C104" s="9" t="s">
        <v>6</v>
      </c>
      <c r="D104" s="10" t="s">
        <v>7</v>
      </c>
      <c r="E104" s="9">
        <v>2917983</v>
      </c>
      <c r="F104" s="9">
        <v>4473.3999999999996</v>
      </c>
      <c r="H104" s="5"/>
    </row>
    <row r="105" spans="1:8" x14ac:dyDescent="0.3">
      <c r="A105" s="9" t="s">
        <v>15</v>
      </c>
      <c r="B105" s="9">
        <v>111</v>
      </c>
      <c r="C105" s="9" t="s">
        <v>6</v>
      </c>
      <c r="D105" s="10" t="s">
        <v>7</v>
      </c>
      <c r="E105" s="9">
        <v>798383</v>
      </c>
      <c r="F105" s="9">
        <v>4123.3999999999996</v>
      </c>
      <c r="H105" s="5"/>
    </row>
    <row r="106" spans="1:8" x14ac:dyDescent="0.3">
      <c r="A106" s="9" t="s">
        <v>15</v>
      </c>
      <c r="B106" s="9">
        <v>112</v>
      </c>
      <c r="C106" s="9" t="s">
        <v>7</v>
      </c>
      <c r="D106" s="10" t="s">
        <v>6</v>
      </c>
      <c r="E106" s="9">
        <v>3609858</v>
      </c>
      <c r="F106" s="9">
        <v>4444.6000000000004</v>
      </c>
      <c r="H106" s="5"/>
    </row>
    <row r="107" spans="1:8" x14ac:dyDescent="0.3">
      <c r="A107" s="9" t="s">
        <v>15</v>
      </c>
      <c r="B107" s="9">
        <v>113</v>
      </c>
      <c r="C107" s="9" t="s">
        <v>7</v>
      </c>
      <c r="D107" s="10" t="s">
        <v>6</v>
      </c>
      <c r="E107" s="9">
        <v>3609667</v>
      </c>
      <c r="F107" s="9">
        <v>4495.8</v>
      </c>
      <c r="H107" s="5"/>
    </row>
    <row r="108" spans="1:8" x14ac:dyDescent="0.3">
      <c r="A108" s="9" t="s">
        <v>15</v>
      </c>
      <c r="B108" s="9">
        <v>114</v>
      </c>
      <c r="C108" s="9" t="s">
        <v>6</v>
      </c>
      <c r="D108" s="10" t="s">
        <v>7</v>
      </c>
      <c r="E108" s="9">
        <v>2438202</v>
      </c>
      <c r="F108" s="9">
        <v>4427.5</v>
      </c>
      <c r="H108" s="5"/>
    </row>
    <row r="109" spans="1:8" x14ac:dyDescent="0.3">
      <c r="A109" s="9" t="s">
        <v>15</v>
      </c>
      <c r="B109" s="9">
        <v>115</v>
      </c>
      <c r="C109" s="9" t="s">
        <v>7</v>
      </c>
      <c r="D109" s="10" t="s">
        <v>7</v>
      </c>
      <c r="E109" s="9">
        <v>3609884</v>
      </c>
      <c r="F109" s="9">
        <v>4974.8999999999996</v>
      </c>
    </row>
    <row r="110" spans="1:8" x14ac:dyDescent="0.3">
      <c r="A110" s="9" t="s">
        <v>15</v>
      </c>
      <c r="B110" s="9">
        <v>116</v>
      </c>
      <c r="C110" s="9" t="s">
        <v>7</v>
      </c>
      <c r="D110" s="10" t="s">
        <v>7</v>
      </c>
      <c r="E110" s="9">
        <v>3609892</v>
      </c>
      <c r="F110" s="9">
        <v>4395.3999999999996</v>
      </c>
    </row>
    <row r="111" spans="1:8" x14ac:dyDescent="0.3">
      <c r="A111" s="9" t="s">
        <v>15</v>
      </c>
      <c r="B111" s="9">
        <v>117</v>
      </c>
      <c r="C111" s="9" t="s">
        <v>7</v>
      </c>
      <c r="D111" s="10" t="s">
        <v>7</v>
      </c>
      <c r="E111" s="9">
        <v>3609956</v>
      </c>
      <c r="F111" s="9">
        <v>4410.8999999999996</v>
      </c>
    </row>
    <row r="112" spans="1:8" x14ac:dyDescent="0.3">
      <c r="A112" s="9" t="s">
        <v>15</v>
      </c>
      <c r="B112" s="9">
        <v>118</v>
      </c>
      <c r="C112" s="9" t="s">
        <v>7</v>
      </c>
      <c r="D112" s="10" t="s">
        <v>7</v>
      </c>
      <c r="E112" s="9">
        <v>3610025</v>
      </c>
      <c r="F112" s="9">
        <v>4360.8</v>
      </c>
    </row>
    <row r="113" spans="1:6" x14ac:dyDescent="0.3">
      <c r="A113" s="9" t="s">
        <v>15</v>
      </c>
      <c r="B113" s="9">
        <v>119</v>
      </c>
      <c r="C113" s="9" t="s">
        <v>7</v>
      </c>
      <c r="D113" s="10" t="s">
        <v>7</v>
      </c>
      <c r="E113" s="9">
        <v>3610055</v>
      </c>
      <c r="F113" s="9">
        <v>4415.6000000000004</v>
      </c>
    </row>
    <row r="114" spans="1:6" x14ac:dyDescent="0.3">
      <c r="A114" s="9" t="s">
        <v>15</v>
      </c>
      <c r="B114" s="9">
        <v>120</v>
      </c>
      <c r="C114" s="9" t="s">
        <v>8</v>
      </c>
      <c r="D114" s="10" t="s">
        <v>7</v>
      </c>
      <c r="E114" s="9">
        <v>61024</v>
      </c>
      <c r="F114" s="9">
        <v>3738.7</v>
      </c>
    </row>
  </sheetData>
  <mergeCells count="8">
    <mergeCell ref="A1:I1"/>
    <mergeCell ref="A2:I2"/>
    <mergeCell ref="H10:I10"/>
    <mergeCell ref="A4:D4"/>
    <mergeCell ref="B5:D5"/>
    <mergeCell ref="B8:D8"/>
    <mergeCell ref="B6:D6"/>
    <mergeCell ref="B7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"/>
  <sheetViews>
    <sheetView workbookViewId="0">
      <selection activeCell="G14" sqref="G14"/>
    </sheetView>
  </sheetViews>
  <sheetFormatPr defaultRowHeight="14.4" x14ac:dyDescent="0.3"/>
  <cols>
    <col min="1" max="1" width="14.88671875" customWidth="1"/>
    <col min="2" max="2" width="7" customWidth="1"/>
    <col min="3" max="3" width="8" customWidth="1"/>
    <col min="4" max="4" width="11" customWidth="1"/>
    <col min="5" max="5" width="13" customWidth="1"/>
    <col min="7" max="7" width="22.33203125" customWidth="1"/>
    <col min="9" max="9" width="27.88671875" customWidth="1"/>
  </cols>
  <sheetData>
    <row r="1" spans="1:8" ht="18" x14ac:dyDescent="0.3">
      <c r="A1" s="20" t="s">
        <v>32</v>
      </c>
      <c r="B1" s="20"/>
      <c r="C1" s="20"/>
      <c r="D1" s="20"/>
      <c r="E1" s="20"/>
      <c r="F1" s="20"/>
      <c r="G1" s="20"/>
      <c r="H1" s="20"/>
    </row>
    <row r="2" spans="1:8" ht="18" x14ac:dyDescent="0.3">
      <c r="A2" s="21" t="s">
        <v>19</v>
      </c>
      <c r="B2" s="21"/>
      <c r="C2" s="21"/>
      <c r="D2" s="21"/>
      <c r="E2" s="21"/>
      <c r="F2" s="21"/>
      <c r="G2" s="21"/>
      <c r="H2" s="21"/>
    </row>
    <row r="3" spans="1:8" x14ac:dyDescent="0.3">
      <c r="A3" s="6"/>
      <c r="B3" s="6"/>
      <c r="C3" s="6"/>
      <c r="D3" s="6"/>
      <c r="E3" s="6"/>
      <c r="F3" s="2"/>
      <c r="G3" s="2"/>
    </row>
    <row r="4" spans="1:8" x14ac:dyDescent="0.3">
      <c r="A4" s="31" t="s">
        <v>21</v>
      </c>
      <c r="B4" s="32"/>
      <c r="C4" s="32"/>
      <c r="D4" s="33"/>
      <c r="E4" s="6"/>
      <c r="F4" s="2"/>
      <c r="G4" s="2"/>
    </row>
    <row r="5" spans="1:8" x14ac:dyDescent="0.3">
      <c r="A5" s="15" t="s">
        <v>24</v>
      </c>
      <c r="B5" s="26" t="s">
        <v>25</v>
      </c>
      <c r="C5" s="27"/>
      <c r="D5" s="28"/>
      <c r="E5" s="14"/>
      <c r="F5" s="2"/>
      <c r="G5" s="2"/>
    </row>
    <row r="6" spans="1:8" x14ac:dyDescent="0.3">
      <c r="A6" s="15" t="s">
        <v>28</v>
      </c>
      <c r="B6" s="26" t="s">
        <v>27</v>
      </c>
      <c r="C6" s="27"/>
      <c r="D6" s="28"/>
      <c r="E6" s="14"/>
      <c r="F6" s="2"/>
      <c r="G6" s="2"/>
    </row>
    <row r="7" spans="1:8" ht="28.8" x14ac:dyDescent="0.3">
      <c r="A7" s="15" t="s">
        <v>29</v>
      </c>
      <c r="B7" s="26" t="s">
        <v>31</v>
      </c>
      <c r="C7" s="27"/>
      <c r="D7" s="28"/>
      <c r="E7" s="14"/>
      <c r="F7" s="2"/>
      <c r="G7" s="2"/>
    </row>
    <row r="8" spans="1:8" ht="57.6" customHeight="1" x14ac:dyDescent="0.3">
      <c r="A8" s="15" t="s">
        <v>26</v>
      </c>
      <c r="B8" s="26" t="s">
        <v>30</v>
      </c>
      <c r="C8" s="27"/>
      <c r="D8" s="28"/>
      <c r="E8" s="14"/>
      <c r="F8" s="2"/>
      <c r="G8" s="2"/>
    </row>
    <row r="10" spans="1:8" s="1" customFormat="1" x14ac:dyDescent="0.3">
      <c r="A10" s="19" t="s">
        <v>0</v>
      </c>
      <c r="B10" s="19" t="s">
        <v>1</v>
      </c>
      <c r="C10" s="19" t="s">
        <v>2</v>
      </c>
      <c r="D10" s="19" t="s">
        <v>3</v>
      </c>
      <c r="E10" s="19" t="s">
        <v>4</v>
      </c>
      <c r="G10" s="29" t="s">
        <v>16</v>
      </c>
      <c r="H10" s="30"/>
    </row>
    <row r="11" spans="1:8" x14ac:dyDescent="0.3">
      <c r="A11" s="16" t="s">
        <v>5</v>
      </c>
      <c r="B11" s="16">
        <v>46</v>
      </c>
      <c r="C11" s="16" t="s">
        <v>6</v>
      </c>
      <c r="D11" s="16">
        <v>20287</v>
      </c>
      <c r="E11" s="16">
        <v>87.5</v>
      </c>
      <c r="G11" s="17" t="s">
        <v>34</v>
      </c>
      <c r="H11" s="18">
        <f>COUNTIF(C:C, "SAT")</f>
        <v>47</v>
      </c>
    </row>
    <row r="12" spans="1:8" x14ac:dyDescent="0.3">
      <c r="A12" s="16" t="s">
        <v>5</v>
      </c>
      <c r="B12" s="16">
        <v>47</v>
      </c>
      <c r="C12" s="16" t="s">
        <v>7</v>
      </c>
      <c r="D12" s="16">
        <v>3611470</v>
      </c>
      <c r="E12" s="16">
        <v>338.5</v>
      </c>
      <c r="G12" s="17" t="s">
        <v>35</v>
      </c>
      <c r="H12" s="18">
        <f>COUNTIF(C:C, "UNSAT")</f>
        <v>12</v>
      </c>
    </row>
    <row r="13" spans="1:8" x14ac:dyDescent="0.3">
      <c r="A13" s="16" t="s">
        <v>5</v>
      </c>
      <c r="B13" s="16">
        <v>48</v>
      </c>
      <c r="C13" s="16" t="s">
        <v>8</v>
      </c>
      <c r="D13" s="16">
        <v>41047</v>
      </c>
      <c r="E13" s="16">
        <v>88.8</v>
      </c>
      <c r="G13" s="17" t="s">
        <v>22</v>
      </c>
      <c r="H13" s="18">
        <f>COUNTIF(C:C, "SAT") + COUNTIF(C:C, "UNSAT")</f>
        <v>59</v>
      </c>
    </row>
    <row r="14" spans="1:8" x14ac:dyDescent="0.3">
      <c r="A14" s="16" t="s">
        <v>9</v>
      </c>
      <c r="B14" s="16">
        <v>33</v>
      </c>
      <c r="C14" s="16" t="s">
        <v>6</v>
      </c>
      <c r="D14" s="16">
        <v>104576</v>
      </c>
      <c r="E14" s="16">
        <v>2198.6</v>
      </c>
      <c r="G14" s="13" t="s">
        <v>23</v>
      </c>
      <c r="H14" s="18">
        <f>COUNTIF(C:C, "-")</f>
        <v>154</v>
      </c>
    </row>
    <row r="15" spans="1:8" x14ac:dyDescent="0.3">
      <c r="A15" s="16" t="s">
        <v>9</v>
      </c>
      <c r="B15" s="16">
        <v>34</v>
      </c>
      <c r="C15" s="16" t="s">
        <v>6</v>
      </c>
      <c r="D15" s="16">
        <v>2769856</v>
      </c>
      <c r="E15" s="16">
        <v>2569.4</v>
      </c>
      <c r="G15" s="17" t="s">
        <v>17</v>
      </c>
      <c r="H15" s="18">
        <f>H13+H14</f>
        <v>213</v>
      </c>
    </row>
    <row r="16" spans="1:8" x14ac:dyDescent="0.3">
      <c r="A16" s="16" t="s">
        <v>9</v>
      </c>
      <c r="B16" s="16">
        <v>35</v>
      </c>
      <c r="C16" s="16" t="s">
        <v>7</v>
      </c>
      <c r="D16" s="16">
        <v>3611333</v>
      </c>
      <c r="E16" s="16">
        <v>2308.3000000000002</v>
      </c>
    </row>
    <row r="17" spans="1:5" x14ac:dyDescent="0.3">
      <c r="A17" s="16" t="s">
        <v>9</v>
      </c>
      <c r="B17" s="16">
        <v>36</v>
      </c>
      <c r="C17" s="16" t="s">
        <v>7</v>
      </c>
      <c r="D17" s="16">
        <v>3611509</v>
      </c>
      <c r="E17" s="16">
        <v>2309.1</v>
      </c>
    </row>
    <row r="18" spans="1:5" x14ac:dyDescent="0.3">
      <c r="A18" s="16" t="s">
        <v>9</v>
      </c>
      <c r="B18" s="16">
        <v>37</v>
      </c>
      <c r="C18" s="16" t="s">
        <v>7</v>
      </c>
      <c r="D18" s="16">
        <v>3611611</v>
      </c>
      <c r="E18" s="16">
        <v>2355.3000000000002</v>
      </c>
    </row>
    <row r="19" spans="1:5" x14ac:dyDescent="0.3">
      <c r="A19" s="16" t="s">
        <v>9</v>
      </c>
      <c r="B19" s="16">
        <v>38</v>
      </c>
      <c r="C19" s="16" t="s">
        <v>7</v>
      </c>
      <c r="D19" s="16">
        <v>3611493</v>
      </c>
      <c r="E19" s="16">
        <v>2329.4</v>
      </c>
    </row>
    <row r="20" spans="1:5" x14ac:dyDescent="0.3">
      <c r="A20" s="16" t="s">
        <v>9</v>
      </c>
      <c r="B20" s="16">
        <v>39</v>
      </c>
      <c r="C20" s="16" t="s">
        <v>7</v>
      </c>
      <c r="D20" s="16">
        <v>3611657</v>
      </c>
      <c r="E20" s="16">
        <v>2308.1</v>
      </c>
    </row>
    <row r="21" spans="1:5" x14ac:dyDescent="0.3">
      <c r="A21" s="16" t="s">
        <v>9</v>
      </c>
      <c r="B21" s="16">
        <v>40</v>
      </c>
      <c r="C21" s="16" t="s">
        <v>8</v>
      </c>
      <c r="D21" s="16">
        <v>2944374</v>
      </c>
      <c r="E21" s="16">
        <v>2356.1999999999998</v>
      </c>
    </row>
    <row r="22" spans="1:5" x14ac:dyDescent="0.3">
      <c r="A22" s="16" t="s">
        <v>9</v>
      </c>
      <c r="B22" s="16">
        <v>41</v>
      </c>
      <c r="C22" s="16" t="s">
        <v>7</v>
      </c>
      <c r="D22" s="16">
        <v>3611528</v>
      </c>
      <c r="E22" s="16">
        <v>2373.1999999999998</v>
      </c>
    </row>
    <row r="23" spans="1:5" x14ac:dyDescent="0.3">
      <c r="A23" s="16" t="s">
        <v>9</v>
      </c>
      <c r="B23" s="16">
        <v>42</v>
      </c>
      <c r="C23" s="16" t="s">
        <v>8</v>
      </c>
      <c r="D23" s="16">
        <v>553582</v>
      </c>
      <c r="E23" s="16">
        <v>2279.1</v>
      </c>
    </row>
    <row r="24" spans="1:5" x14ac:dyDescent="0.3">
      <c r="A24" s="16" t="s">
        <v>10</v>
      </c>
      <c r="B24" s="16">
        <v>33</v>
      </c>
      <c r="C24" s="16" t="s">
        <v>6</v>
      </c>
      <c r="D24" s="16">
        <v>102730</v>
      </c>
      <c r="E24" s="16">
        <v>2202.1999999999998</v>
      </c>
    </row>
    <row r="25" spans="1:5" x14ac:dyDescent="0.3">
      <c r="A25" s="16" t="s">
        <v>10</v>
      </c>
      <c r="B25" s="16">
        <v>34</v>
      </c>
      <c r="C25" s="16" t="s">
        <v>6</v>
      </c>
      <c r="D25" s="16">
        <v>2782613</v>
      </c>
      <c r="E25" s="16">
        <v>2568.6999999999998</v>
      </c>
    </row>
    <row r="26" spans="1:5" x14ac:dyDescent="0.3">
      <c r="A26" s="16" t="s">
        <v>10</v>
      </c>
      <c r="B26" s="16">
        <v>35</v>
      </c>
      <c r="C26" s="16" t="s">
        <v>7</v>
      </c>
      <c r="D26" s="16">
        <v>3611551</v>
      </c>
      <c r="E26" s="16">
        <v>2306.1999999999998</v>
      </c>
    </row>
    <row r="27" spans="1:5" x14ac:dyDescent="0.3">
      <c r="A27" s="16" t="s">
        <v>10</v>
      </c>
      <c r="B27" s="16">
        <v>36</v>
      </c>
      <c r="C27" s="16" t="s">
        <v>7</v>
      </c>
      <c r="D27" s="16">
        <v>3611682</v>
      </c>
      <c r="E27" s="16">
        <v>2306.6999999999998</v>
      </c>
    </row>
    <row r="28" spans="1:5" x14ac:dyDescent="0.3">
      <c r="A28" s="16" t="s">
        <v>10</v>
      </c>
      <c r="B28" s="16">
        <v>37</v>
      </c>
      <c r="C28" s="16" t="s">
        <v>7</v>
      </c>
      <c r="D28" s="16">
        <v>3612042</v>
      </c>
      <c r="E28" s="16">
        <v>2356</v>
      </c>
    </row>
    <row r="29" spans="1:5" x14ac:dyDescent="0.3">
      <c r="A29" s="16" t="s">
        <v>10</v>
      </c>
      <c r="B29" s="16">
        <v>38</v>
      </c>
      <c r="C29" s="16" t="s">
        <v>7</v>
      </c>
      <c r="D29" s="16">
        <v>3612108</v>
      </c>
      <c r="E29" s="16">
        <v>2329.9</v>
      </c>
    </row>
    <row r="30" spans="1:5" x14ac:dyDescent="0.3">
      <c r="A30" s="16" t="s">
        <v>10</v>
      </c>
      <c r="B30" s="16">
        <v>39</v>
      </c>
      <c r="C30" s="16" t="s">
        <v>7</v>
      </c>
      <c r="D30" s="16">
        <v>3611807</v>
      </c>
      <c r="E30" s="16">
        <v>2309.9</v>
      </c>
    </row>
    <row r="31" spans="1:5" x14ac:dyDescent="0.3">
      <c r="A31" s="16" t="s">
        <v>10</v>
      </c>
      <c r="B31" s="16">
        <v>40</v>
      </c>
      <c r="C31" s="16" t="s">
        <v>8</v>
      </c>
      <c r="D31" s="16">
        <v>3084514</v>
      </c>
      <c r="E31" s="16">
        <v>2348.6999999999998</v>
      </c>
    </row>
    <row r="32" spans="1:5" x14ac:dyDescent="0.3">
      <c r="A32" s="16" t="s">
        <v>10</v>
      </c>
      <c r="B32" s="16">
        <v>41</v>
      </c>
      <c r="C32" s="16" t="s">
        <v>7</v>
      </c>
      <c r="D32" s="16">
        <v>3611500</v>
      </c>
      <c r="E32" s="16">
        <v>2372.3000000000002</v>
      </c>
    </row>
    <row r="33" spans="1:5" x14ac:dyDescent="0.3">
      <c r="A33" s="16" t="s">
        <v>10</v>
      </c>
      <c r="B33" s="16">
        <v>42</v>
      </c>
      <c r="C33" s="16" t="s">
        <v>8</v>
      </c>
      <c r="D33" s="16">
        <v>556471</v>
      </c>
      <c r="E33" s="16">
        <v>2276.1999999999998</v>
      </c>
    </row>
    <row r="34" spans="1:5" x14ac:dyDescent="0.3">
      <c r="A34" s="16" t="s">
        <v>11</v>
      </c>
      <c r="B34" s="16">
        <v>87</v>
      </c>
      <c r="C34" s="16" t="s">
        <v>7</v>
      </c>
      <c r="D34" s="16">
        <v>3611695</v>
      </c>
      <c r="E34" s="16">
        <v>1849.7</v>
      </c>
    </row>
    <row r="35" spans="1:5" x14ac:dyDescent="0.3">
      <c r="A35" s="16" t="s">
        <v>11</v>
      </c>
      <c r="B35" s="16">
        <v>88</v>
      </c>
      <c r="C35" s="16" t="s">
        <v>6</v>
      </c>
      <c r="D35" s="16">
        <v>556783</v>
      </c>
      <c r="E35" s="16">
        <v>1689.2</v>
      </c>
    </row>
    <row r="36" spans="1:5" x14ac:dyDescent="0.3">
      <c r="A36" s="16" t="s">
        <v>11</v>
      </c>
      <c r="B36" s="16">
        <v>89</v>
      </c>
      <c r="C36" s="16" t="s">
        <v>7</v>
      </c>
      <c r="D36" s="16">
        <v>3611431</v>
      </c>
      <c r="E36" s="16">
        <v>1866.2</v>
      </c>
    </row>
    <row r="37" spans="1:5" x14ac:dyDescent="0.3">
      <c r="A37" s="16" t="s">
        <v>11</v>
      </c>
      <c r="B37" s="16">
        <v>90</v>
      </c>
      <c r="C37" s="16" t="s">
        <v>6</v>
      </c>
      <c r="D37" s="16">
        <v>2834631</v>
      </c>
      <c r="E37" s="16">
        <v>2291.1999999999998</v>
      </c>
    </row>
    <row r="38" spans="1:5" x14ac:dyDescent="0.3">
      <c r="A38" s="16" t="s">
        <v>11</v>
      </c>
      <c r="B38" s="16">
        <v>91</v>
      </c>
      <c r="C38" s="16" t="s">
        <v>6</v>
      </c>
      <c r="D38" s="16">
        <v>3180168</v>
      </c>
      <c r="E38" s="16">
        <v>1759.7</v>
      </c>
    </row>
    <row r="39" spans="1:5" x14ac:dyDescent="0.3">
      <c r="A39" s="16" t="s">
        <v>11</v>
      </c>
      <c r="B39" s="16">
        <v>92</v>
      </c>
      <c r="C39" s="16" t="s">
        <v>7</v>
      </c>
      <c r="D39" s="16">
        <v>3611895</v>
      </c>
      <c r="E39" s="16">
        <v>1769</v>
      </c>
    </row>
    <row r="40" spans="1:5" x14ac:dyDescent="0.3">
      <c r="A40" s="16" t="s">
        <v>11</v>
      </c>
      <c r="B40" s="16">
        <v>93</v>
      </c>
      <c r="C40" s="16" t="s">
        <v>6</v>
      </c>
      <c r="D40" s="16">
        <v>2218396</v>
      </c>
      <c r="E40" s="16">
        <v>1763</v>
      </c>
    </row>
    <row r="41" spans="1:5" x14ac:dyDescent="0.3">
      <c r="A41" s="16" t="s">
        <v>11</v>
      </c>
      <c r="B41" s="16">
        <v>94</v>
      </c>
      <c r="C41" s="16" t="s">
        <v>7</v>
      </c>
      <c r="D41" s="16">
        <v>3612062</v>
      </c>
      <c r="E41" s="16">
        <v>2074.6999999999998</v>
      </c>
    </row>
    <row r="42" spans="1:5" x14ac:dyDescent="0.3">
      <c r="A42" s="16" t="s">
        <v>11</v>
      </c>
      <c r="B42" s="16">
        <v>95</v>
      </c>
      <c r="C42" s="16" t="s">
        <v>6</v>
      </c>
      <c r="D42" s="16">
        <v>2030864</v>
      </c>
      <c r="E42" s="16">
        <v>1801.2</v>
      </c>
    </row>
    <row r="43" spans="1:5" x14ac:dyDescent="0.3">
      <c r="A43" s="16" t="s">
        <v>11</v>
      </c>
      <c r="B43" s="16">
        <v>96</v>
      </c>
      <c r="C43" s="16" t="s">
        <v>7</v>
      </c>
      <c r="D43" s="16">
        <v>3611581</v>
      </c>
      <c r="E43" s="16">
        <v>1877.4</v>
      </c>
    </row>
    <row r="44" spans="1:5" x14ac:dyDescent="0.3">
      <c r="A44" s="16" t="s">
        <v>11</v>
      </c>
      <c r="B44" s="16">
        <v>97</v>
      </c>
      <c r="C44" s="16" t="s">
        <v>7</v>
      </c>
      <c r="D44" s="16">
        <v>3612094</v>
      </c>
      <c r="E44" s="16">
        <v>1820.4</v>
      </c>
    </row>
    <row r="45" spans="1:5" x14ac:dyDescent="0.3">
      <c r="A45" s="16" t="s">
        <v>11</v>
      </c>
      <c r="B45" s="16">
        <v>98</v>
      </c>
      <c r="C45" s="16" t="s">
        <v>7</v>
      </c>
      <c r="D45" s="16">
        <v>3611812</v>
      </c>
      <c r="E45" s="16">
        <v>2007.2</v>
      </c>
    </row>
    <row r="46" spans="1:5" x14ac:dyDescent="0.3">
      <c r="A46" s="16" t="s">
        <v>11</v>
      </c>
      <c r="B46" s="16">
        <v>99</v>
      </c>
      <c r="C46" s="16" t="s">
        <v>7</v>
      </c>
      <c r="D46" s="16">
        <v>3611877</v>
      </c>
      <c r="E46" s="16">
        <v>1876.1</v>
      </c>
    </row>
    <row r="47" spans="1:5" x14ac:dyDescent="0.3">
      <c r="A47" s="16" t="s">
        <v>11</v>
      </c>
      <c r="B47" s="16">
        <v>100</v>
      </c>
      <c r="C47" s="16" t="s">
        <v>7</v>
      </c>
      <c r="D47" s="16">
        <v>3611728</v>
      </c>
      <c r="E47" s="16">
        <v>1777.6</v>
      </c>
    </row>
    <row r="48" spans="1:5" x14ac:dyDescent="0.3">
      <c r="A48" s="16" t="s">
        <v>11</v>
      </c>
      <c r="B48" s="16">
        <v>101</v>
      </c>
      <c r="C48" s="16" t="s">
        <v>7</v>
      </c>
      <c r="D48" s="16">
        <v>3611926</v>
      </c>
      <c r="E48" s="16">
        <v>1894.3</v>
      </c>
    </row>
    <row r="49" spans="1:5" x14ac:dyDescent="0.3">
      <c r="A49" s="16" t="s">
        <v>11</v>
      </c>
      <c r="B49" s="16">
        <v>102</v>
      </c>
      <c r="C49" s="16" t="s">
        <v>7</v>
      </c>
      <c r="D49" s="16">
        <v>3611955</v>
      </c>
      <c r="E49" s="16">
        <v>1880.4</v>
      </c>
    </row>
    <row r="50" spans="1:5" x14ac:dyDescent="0.3">
      <c r="A50" s="16" t="s">
        <v>11</v>
      </c>
      <c r="B50" s="16">
        <v>103</v>
      </c>
      <c r="C50" s="16" t="s">
        <v>7</v>
      </c>
      <c r="D50" s="16">
        <v>3611862</v>
      </c>
      <c r="E50" s="16">
        <v>1883.7</v>
      </c>
    </row>
    <row r="51" spans="1:5" x14ac:dyDescent="0.3">
      <c r="A51" s="16" t="s">
        <v>11</v>
      </c>
      <c r="B51" s="16">
        <v>104</v>
      </c>
      <c r="C51" s="16" t="s">
        <v>7</v>
      </c>
      <c r="D51" s="16">
        <v>3611998</v>
      </c>
      <c r="E51" s="16">
        <v>1783.4</v>
      </c>
    </row>
    <row r="52" spans="1:5" x14ac:dyDescent="0.3">
      <c r="A52" s="16" t="s">
        <v>11</v>
      </c>
      <c r="B52" s="16">
        <v>105</v>
      </c>
      <c r="C52" s="16" t="s">
        <v>7</v>
      </c>
      <c r="D52" s="16">
        <v>3611853</v>
      </c>
      <c r="E52" s="16">
        <v>1798</v>
      </c>
    </row>
    <row r="53" spans="1:5" x14ac:dyDescent="0.3">
      <c r="A53" s="16" t="s">
        <v>11</v>
      </c>
      <c r="B53" s="16">
        <v>106</v>
      </c>
      <c r="C53" s="16" t="s">
        <v>7</v>
      </c>
      <c r="D53" s="16">
        <v>3611970</v>
      </c>
      <c r="E53" s="16">
        <v>1882.9</v>
      </c>
    </row>
    <row r="54" spans="1:5" x14ac:dyDescent="0.3">
      <c r="A54" s="16" t="s">
        <v>11</v>
      </c>
      <c r="B54" s="16">
        <v>107</v>
      </c>
      <c r="C54" s="16" t="s">
        <v>7</v>
      </c>
      <c r="D54" s="16">
        <v>3611884</v>
      </c>
      <c r="E54" s="16">
        <v>1838.1</v>
      </c>
    </row>
    <row r="55" spans="1:5" x14ac:dyDescent="0.3">
      <c r="A55" s="16" t="s">
        <v>11</v>
      </c>
      <c r="B55" s="16">
        <v>108</v>
      </c>
      <c r="C55" s="16" t="s">
        <v>7</v>
      </c>
      <c r="D55" s="16">
        <v>3611972</v>
      </c>
      <c r="E55" s="16">
        <v>1866.9</v>
      </c>
    </row>
    <row r="56" spans="1:5" x14ac:dyDescent="0.3">
      <c r="A56" s="16" t="s">
        <v>11</v>
      </c>
      <c r="B56" s="16">
        <v>109</v>
      </c>
      <c r="C56" s="16" t="s">
        <v>7</v>
      </c>
      <c r="D56" s="16">
        <v>3612035</v>
      </c>
      <c r="E56" s="16">
        <v>1804</v>
      </c>
    </row>
    <row r="57" spans="1:5" x14ac:dyDescent="0.3">
      <c r="A57" s="16" t="s">
        <v>11</v>
      </c>
      <c r="B57" s="16">
        <v>110</v>
      </c>
      <c r="C57" s="16" t="s">
        <v>8</v>
      </c>
      <c r="D57" s="16">
        <v>1202776</v>
      </c>
      <c r="E57" s="16">
        <v>1868</v>
      </c>
    </row>
    <row r="58" spans="1:5" x14ac:dyDescent="0.3">
      <c r="A58" s="16" t="s">
        <v>11</v>
      </c>
      <c r="B58" s="16">
        <v>111</v>
      </c>
      <c r="C58" s="16" t="s">
        <v>8</v>
      </c>
      <c r="D58" s="16">
        <v>95111</v>
      </c>
      <c r="E58" s="16">
        <v>1629.7</v>
      </c>
    </row>
    <row r="59" spans="1:5" x14ac:dyDescent="0.3">
      <c r="A59" s="16" t="s">
        <v>12</v>
      </c>
      <c r="B59" s="16">
        <v>227</v>
      </c>
      <c r="C59" s="16" t="s">
        <v>6</v>
      </c>
      <c r="D59" s="16">
        <v>2281355</v>
      </c>
      <c r="E59" s="16">
        <v>2374.5</v>
      </c>
    </row>
    <row r="60" spans="1:5" x14ac:dyDescent="0.3">
      <c r="A60" s="16" t="s">
        <v>12</v>
      </c>
      <c r="B60" s="16">
        <v>228</v>
      </c>
      <c r="C60" s="16" t="s">
        <v>6</v>
      </c>
      <c r="D60" s="16">
        <v>296814</v>
      </c>
      <c r="E60" s="16">
        <v>1998</v>
      </c>
    </row>
    <row r="61" spans="1:5" x14ac:dyDescent="0.3">
      <c r="A61" s="16" t="s">
        <v>12</v>
      </c>
      <c r="B61" s="16">
        <v>229</v>
      </c>
      <c r="C61" s="16" t="s">
        <v>7</v>
      </c>
      <c r="D61" s="16">
        <v>3612133</v>
      </c>
      <c r="E61" s="16">
        <v>2586.9</v>
      </c>
    </row>
    <row r="62" spans="1:5" x14ac:dyDescent="0.3">
      <c r="A62" s="16" t="s">
        <v>12</v>
      </c>
      <c r="B62" s="16">
        <v>230</v>
      </c>
      <c r="C62" s="16" t="s">
        <v>6</v>
      </c>
      <c r="D62" s="16">
        <v>2383193</v>
      </c>
      <c r="E62" s="16">
        <v>2500.3000000000002</v>
      </c>
    </row>
    <row r="63" spans="1:5" x14ac:dyDescent="0.3">
      <c r="A63" s="16" t="s">
        <v>12</v>
      </c>
      <c r="B63" s="16">
        <v>231</v>
      </c>
      <c r="C63" s="16" t="s">
        <v>6</v>
      </c>
      <c r="D63" s="16">
        <v>1233761</v>
      </c>
      <c r="E63" s="16">
        <v>2360.1999999999998</v>
      </c>
    </row>
    <row r="64" spans="1:5" x14ac:dyDescent="0.3">
      <c r="A64" s="16" t="s">
        <v>12</v>
      </c>
      <c r="B64" s="16">
        <v>232</v>
      </c>
      <c r="C64" s="16" t="s">
        <v>6</v>
      </c>
      <c r="D64" s="16">
        <v>843766</v>
      </c>
      <c r="E64" s="16">
        <v>2031.3</v>
      </c>
    </row>
    <row r="65" spans="1:5" x14ac:dyDescent="0.3">
      <c r="A65" s="16" t="s">
        <v>12</v>
      </c>
      <c r="B65" s="16">
        <v>233</v>
      </c>
      <c r="C65" s="16" t="s">
        <v>7</v>
      </c>
      <c r="D65" s="16">
        <v>3612267</v>
      </c>
      <c r="E65" s="16">
        <v>2470.9</v>
      </c>
    </row>
    <row r="66" spans="1:5" x14ac:dyDescent="0.3">
      <c r="A66" s="16" t="s">
        <v>12</v>
      </c>
      <c r="B66" s="16">
        <v>234</v>
      </c>
      <c r="C66" s="16" t="s">
        <v>7</v>
      </c>
      <c r="D66" s="16">
        <v>3612008</v>
      </c>
      <c r="E66" s="16">
        <v>2395.5</v>
      </c>
    </row>
    <row r="67" spans="1:5" x14ac:dyDescent="0.3">
      <c r="A67" s="16" t="s">
        <v>12</v>
      </c>
      <c r="B67" s="16">
        <v>235</v>
      </c>
      <c r="C67" s="16" t="s">
        <v>7</v>
      </c>
      <c r="D67" s="16">
        <v>3612051</v>
      </c>
      <c r="E67" s="16">
        <v>2594.6</v>
      </c>
    </row>
    <row r="68" spans="1:5" x14ac:dyDescent="0.3">
      <c r="A68" s="16" t="s">
        <v>12</v>
      </c>
      <c r="B68" s="16">
        <v>236</v>
      </c>
      <c r="C68" s="16" t="s">
        <v>7</v>
      </c>
      <c r="D68" s="16">
        <v>3611659</v>
      </c>
      <c r="E68" s="16">
        <v>2608.6</v>
      </c>
    </row>
    <row r="69" spans="1:5" x14ac:dyDescent="0.3">
      <c r="A69" s="16" t="s">
        <v>12</v>
      </c>
      <c r="B69" s="16">
        <v>237</v>
      </c>
      <c r="C69" s="16" t="s">
        <v>7</v>
      </c>
      <c r="D69" s="16">
        <v>3611839</v>
      </c>
      <c r="E69" s="16">
        <v>2361.5</v>
      </c>
    </row>
    <row r="70" spans="1:5" x14ac:dyDescent="0.3">
      <c r="A70" s="16" t="s">
        <v>12</v>
      </c>
      <c r="B70" s="16">
        <v>238</v>
      </c>
      <c r="C70" s="16" t="s">
        <v>7</v>
      </c>
      <c r="D70" s="16">
        <v>3612132</v>
      </c>
      <c r="E70" s="16">
        <v>3793</v>
      </c>
    </row>
    <row r="71" spans="1:5" x14ac:dyDescent="0.3">
      <c r="A71" s="16" t="s">
        <v>12</v>
      </c>
      <c r="B71" s="16">
        <v>239</v>
      </c>
      <c r="C71" s="16" t="s">
        <v>7</v>
      </c>
      <c r="D71" s="16">
        <v>3611898</v>
      </c>
      <c r="E71" s="16">
        <v>2344.8000000000002</v>
      </c>
    </row>
    <row r="72" spans="1:5" x14ac:dyDescent="0.3">
      <c r="A72" s="16" t="s">
        <v>12</v>
      </c>
      <c r="B72" s="16">
        <v>240</v>
      </c>
      <c r="C72" s="16" t="s">
        <v>7</v>
      </c>
      <c r="D72" s="16">
        <v>3611800</v>
      </c>
      <c r="E72" s="16">
        <v>2199.6</v>
      </c>
    </row>
    <row r="73" spans="1:5" x14ac:dyDescent="0.3">
      <c r="A73" s="16" t="s">
        <v>12</v>
      </c>
      <c r="B73" s="16">
        <v>241</v>
      </c>
      <c r="C73" s="16" t="s">
        <v>7</v>
      </c>
      <c r="D73" s="16">
        <v>3611737</v>
      </c>
      <c r="E73" s="16">
        <v>2378</v>
      </c>
    </row>
    <row r="74" spans="1:5" x14ac:dyDescent="0.3">
      <c r="A74" s="16" t="s">
        <v>12</v>
      </c>
      <c r="B74" s="16">
        <v>242</v>
      </c>
      <c r="C74" s="16" t="s">
        <v>7</v>
      </c>
      <c r="D74" s="16">
        <v>3613188</v>
      </c>
      <c r="E74" s="16">
        <v>2411.1</v>
      </c>
    </row>
    <row r="75" spans="1:5" x14ac:dyDescent="0.3">
      <c r="A75" s="16" t="s">
        <v>12</v>
      </c>
      <c r="B75" s="16">
        <v>243</v>
      </c>
      <c r="C75" s="16" t="s">
        <v>7</v>
      </c>
      <c r="D75" s="16">
        <v>3612734</v>
      </c>
      <c r="E75" s="16">
        <v>2390.9</v>
      </c>
    </row>
    <row r="76" spans="1:5" x14ac:dyDescent="0.3">
      <c r="A76" s="16" t="s">
        <v>12</v>
      </c>
      <c r="B76" s="16">
        <v>244</v>
      </c>
      <c r="C76" s="16" t="s">
        <v>7</v>
      </c>
      <c r="D76" s="16">
        <v>3613264</v>
      </c>
      <c r="E76" s="16">
        <v>2439.1999999999998</v>
      </c>
    </row>
    <row r="77" spans="1:5" x14ac:dyDescent="0.3">
      <c r="A77" s="16" t="s">
        <v>12</v>
      </c>
      <c r="B77" s="16">
        <v>245</v>
      </c>
      <c r="C77" s="16" t="s">
        <v>7</v>
      </c>
      <c r="D77" s="16">
        <v>3613270</v>
      </c>
      <c r="E77" s="16">
        <v>2120.1</v>
      </c>
    </row>
    <row r="78" spans="1:5" x14ac:dyDescent="0.3">
      <c r="A78" s="16" t="s">
        <v>12</v>
      </c>
      <c r="B78" s="16">
        <v>246</v>
      </c>
      <c r="C78" s="16" t="s">
        <v>7</v>
      </c>
      <c r="D78" s="16">
        <v>3612875</v>
      </c>
      <c r="E78" s="16">
        <v>2093.1</v>
      </c>
    </row>
    <row r="79" spans="1:5" x14ac:dyDescent="0.3">
      <c r="A79" s="16" t="s">
        <v>12</v>
      </c>
      <c r="B79" s="16">
        <v>247</v>
      </c>
      <c r="C79" s="16" t="s">
        <v>7</v>
      </c>
      <c r="D79" s="16">
        <v>3612971</v>
      </c>
      <c r="E79" s="16">
        <v>2348.4</v>
      </c>
    </row>
    <row r="80" spans="1:5" x14ac:dyDescent="0.3">
      <c r="A80" s="16" t="s">
        <v>12</v>
      </c>
      <c r="B80" s="16">
        <v>248</v>
      </c>
      <c r="C80" s="16" t="s">
        <v>7</v>
      </c>
      <c r="D80" s="16">
        <v>3613485</v>
      </c>
      <c r="E80" s="16">
        <v>2726.4</v>
      </c>
    </row>
    <row r="81" spans="1:5" x14ac:dyDescent="0.3">
      <c r="A81" s="16" t="s">
        <v>12</v>
      </c>
      <c r="B81" s="16">
        <v>249</v>
      </c>
      <c r="C81" s="16" t="s">
        <v>7</v>
      </c>
      <c r="D81" s="16">
        <v>3613908</v>
      </c>
      <c r="E81" s="16">
        <v>2351.1999999999998</v>
      </c>
    </row>
    <row r="82" spans="1:5" x14ac:dyDescent="0.3">
      <c r="A82" s="16" t="s">
        <v>12</v>
      </c>
      <c r="B82" s="16">
        <v>250</v>
      </c>
      <c r="C82" s="16" t="s">
        <v>7</v>
      </c>
      <c r="D82" s="16">
        <v>3610071</v>
      </c>
      <c r="E82" s="16">
        <v>2380.3000000000002</v>
      </c>
    </row>
    <row r="83" spans="1:5" x14ac:dyDescent="0.3">
      <c r="A83" s="16" t="s">
        <v>12</v>
      </c>
      <c r="B83" s="16">
        <v>251</v>
      </c>
      <c r="C83" s="16" t="s">
        <v>7</v>
      </c>
      <c r="D83" s="16">
        <v>3610221</v>
      </c>
      <c r="E83" s="16">
        <v>2417</v>
      </c>
    </row>
    <row r="84" spans="1:5" x14ac:dyDescent="0.3">
      <c r="A84" s="16" t="s">
        <v>12</v>
      </c>
      <c r="B84" s="16">
        <v>252</v>
      </c>
      <c r="C84" s="16" t="s">
        <v>7</v>
      </c>
      <c r="D84" s="16">
        <v>3610084</v>
      </c>
      <c r="E84" s="16">
        <v>2157.6999999999998</v>
      </c>
    </row>
    <row r="85" spans="1:5" x14ac:dyDescent="0.3">
      <c r="A85" s="16" t="s">
        <v>12</v>
      </c>
      <c r="B85" s="16">
        <v>253</v>
      </c>
      <c r="C85" s="16" t="s">
        <v>7</v>
      </c>
      <c r="D85" s="16">
        <v>3610013</v>
      </c>
      <c r="E85" s="16">
        <v>2393.6999999999998</v>
      </c>
    </row>
    <row r="86" spans="1:5" x14ac:dyDescent="0.3">
      <c r="A86" s="16" t="s">
        <v>12</v>
      </c>
      <c r="B86" s="16">
        <v>254</v>
      </c>
      <c r="C86" s="16" t="s">
        <v>7</v>
      </c>
      <c r="D86" s="16">
        <v>3610071</v>
      </c>
      <c r="E86" s="16">
        <v>2370.3000000000002</v>
      </c>
    </row>
    <row r="87" spans="1:5" x14ac:dyDescent="0.3">
      <c r="A87" s="16" t="s">
        <v>12</v>
      </c>
      <c r="B87" s="16">
        <v>255</v>
      </c>
      <c r="C87" s="16" t="s">
        <v>7</v>
      </c>
      <c r="D87" s="16">
        <v>3610126</v>
      </c>
      <c r="E87" s="16">
        <v>2412.1999999999998</v>
      </c>
    </row>
    <row r="88" spans="1:5" x14ac:dyDescent="0.3">
      <c r="A88" s="16" t="s">
        <v>12</v>
      </c>
      <c r="B88" s="16">
        <v>256</v>
      </c>
      <c r="C88" s="16" t="s">
        <v>7</v>
      </c>
      <c r="D88" s="16">
        <v>3610201</v>
      </c>
      <c r="E88" s="16">
        <v>2147.6999999999998</v>
      </c>
    </row>
    <row r="89" spans="1:5" x14ac:dyDescent="0.3">
      <c r="A89" s="16" t="s">
        <v>12</v>
      </c>
      <c r="B89" s="16">
        <v>257</v>
      </c>
      <c r="C89" s="16" t="s">
        <v>7</v>
      </c>
      <c r="D89" s="16">
        <v>3610079</v>
      </c>
      <c r="E89" s="16">
        <v>2434.6999999999998</v>
      </c>
    </row>
    <row r="90" spans="1:5" x14ac:dyDescent="0.3">
      <c r="A90" s="16" t="s">
        <v>12</v>
      </c>
      <c r="B90" s="16">
        <v>258</v>
      </c>
      <c r="C90" s="16" t="s">
        <v>7</v>
      </c>
      <c r="D90" s="16">
        <v>3610055</v>
      </c>
      <c r="E90" s="16">
        <v>2142.9</v>
      </c>
    </row>
    <row r="91" spans="1:5" x14ac:dyDescent="0.3">
      <c r="A91" s="16" t="s">
        <v>12</v>
      </c>
      <c r="B91" s="16">
        <v>259</v>
      </c>
      <c r="C91" s="16" t="s">
        <v>7</v>
      </c>
      <c r="D91" s="16">
        <v>3609932</v>
      </c>
      <c r="E91" s="16">
        <v>2474.6999999999998</v>
      </c>
    </row>
    <row r="92" spans="1:5" x14ac:dyDescent="0.3">
      <c r="A92" s="16" t="s">
        <v>12</v>
      </c>
      <c r="B92" s="16">
        <v>260</v>
      </c>
      <c r="C92" s="16" t="s">
        <v>7</v>
      </c>
      <c r="D92" s="16">
        <v>3609779</v>
      </c>
      <c r="E92" s="16">
        <v>2173.9</v>
      </c>
    </row>
    <row r="93" spans="1:5" x14ac:dyDescent="0.3">
      <c r="A93" s="16" t="s">
        <v>12</v>
      </c>
      <c r="B93" s="16">
        <v>261</v>
      </c>
      <c r="C93" s="16" t="s">
        <v>7</v>
      </c>
      <c r="D93" s="16">
        <v>3609780</v>
      </c>
      <c r="E93" s="16">
        <v>2151.4</v>
      </c>
    </row>
    <row r="94" spans="1:5" x14ac:dyDescent="0.3">
      <c r="A94" s="16" t="s">
        <v>12</v>
      </c>
      <c r="B94" s="16">
        <v>262</v>
      </c>
      <c r="C94" s="16" t="s">
        <v>7</v>
      </c>
      <c r="D94" s="16">
        <v>3609887</v>
      </c>
      <c r="E94" s="16">
        <v>2193.9</v>
      </c>
    </row>
    <row r="95" spans="1:5" x14ac:dyDescent="0.3">
      <c r="A95" s="16" t="s">
        <v>12</v>
      </c>
      <c r="B95" s="16">
        <v>263</v>
      </c>
      <c r="C95" s="16" t="s">
        <v>7</v>
      </c>
      <c r="D95" s="16">
        <v>3609792</v>
      </c>
      <c r="E95" s="16">
        <v>2441.8000000000002</v>
      </c>
    </row>
    <row r="96" spans="1:5" x14ac:dyDescent="0.3">
      <c r="A96" s="16" t="s">
        <v>12</v>
      </c>
      <c r="B96" s="16">
        <v>264</v>
      </c>
      <c r="C96" s="16" t="s">
        <v>7</v>
      </c>
      <c r="D96" s="16">
        <v>3609941</v>
      </c>
      <c r="E96" s="16">
        <v>2167.3000000000002</v>
      </c>
    </row>
    <row r="97" spans="1:5" x14ac:dyDescent="0.3">
      <c r="A97" s="16" t="s">
        <v>12</v>
      </c>
      <c r="B97" s="16">
        <v>265</v>
      </c>
      <c r="C97" s="16" t="s">
        <v>7</v>
      </c>
      <c r="D97" s="16">
        <v>3609806</v>
      </c>
      <c r="E97" s="16">
        <v>2405.6999999999998</v>
      </c>
    </row>
    <row r="98" spans="1:5" x14ac:dyDescent="0.3">
      <c r="A98" s="16" t="s">
        <v>12</v>
      </c>
      <c r="B98" s="16">
        <v>266</v>
      </c>
      <c r="C98" s="16" t="s">
        <v>7</v>
      </c>
      <c r="D98" s="16">
        <v>3609921</v>
      </c>
      <c r="E98" s="16">
        <v>2162.3000000000002</v>
      </c>
    </row>
    <row r="99" spans="1:5" x14ac:dyDescent="0.3">
      <c r="A99" s="16" t="s">
        <v>12</v>
      </c>
      <c r="B99" s="16">
        <v>267</v>
      </c>
      <c r="C99" s="16" t="s">
        <v>7</v>
      </c>
      <c r="D99" s="16">
        <v>3609946</v>
      </c>
      <c r="E99" s="16">
        <v>2169.1</v>
      </c>
    </row>
    <row r="100" spans="1:5" x14ac:dyDescent="0.3">
      <c r="A100" s="16" t="s">
        <v>12</v>
      </c>
      <c r="B100" s="16">
        <v>268</v>
      </c>
      <c r="C100" s="16" t="s">
        <v>7</v>
      </c>
      <c r="D100" s="16">
        <v>3609953</v>
      </c>
      <c r="E100" s="16">
        <v>2404</v>
      </c>
    </row>
    <row r="101" spans="1:5" x14ac:dyDescent="0.3">
      <c r="A101" s="16" t="s">
        <v>12</v>
      </c>
      <c r="B101" s="16">
        <v>269</v>
      </c>
      <c r="C101" s="16" t="s">
        <v>7</v>
      </c>
      <c r="D101" s="16">
        <v>3609919</v>
      </c>
      <c r="E101" s="16">
        <v>2380.9</v>
      </c>
    </row>
    <row r="102" spans="1:5" x14ac:dyDescent="0.3">
      <c r="A102" s="16" t="s">
        <v>12</v>
      </c>
      <c r="B102" s="16">
        <v>270</v>
      </c>
      <c r="C102" s="16" t="s">
        <v>8</v>
      </c>
      <c r="D102" s="16">
        <v>2696252</v>
      </c>
      <c r="E102" s="16">
        <v>2414.4</v>
      </c>
    </row>
    <row r="103" spans="1:5" x14ac:dyDescent="0.3">
      <c r="A103" s="16" t="s">
        <v>12</v>
      </c>
      <c r="B103" s="16">
        <v>271</v>
      </c>
      <c r="C103" s="16" t="s">
        <v>8</v>
      </c>
      <c r="D103" s="16">
        <v>322007</v>
      </c>
      <c r="E103" s="16">
        <v>2160.1999999999998</v>
      </c>
    </row>
    <row r="104" spans="1:5" x14ac:dyDescent="0.3">
      <c r="A104" s="16" t="s">
        <v>13</v>
      </c>
      <c r="B104" s="16">
        <v>113</v>
      </c>
      <c r="C104" s="16" t="s">
        <v>7</v>
      </c>
      <c r="D104" s="16">
        <v>3610307</v>
      </c>
      <c r="E104" s="16">
        <v>3002</v>
      </c>
    </row>
    <row r="105" spans="1:5" x14ac:dyDescent="0.3">
      <c r="A105" s="16" t="s">
        <v>13</v>
      </c>
      <c r="B105" s="16">
        <v>114</v>
      </c>
      <c r="C105" s="16" t="s">
        <v>6</v>
      </c>
      <c r="D105" s="16">
        <v>3355692</v>
      </c>
      <c r="E105" s="16">
        <v>4330.2</v>
      </c>
    </row>
    <row r="106" spans="1:5" x14ac:dyDescent="0.3">
      <c r="A106" s="16" t="s">
        <v>13</v>
      </c>
      <c r="B106" s="16">
        <v>115</v>
      </c>
      <c r="C106" s="16" t="s">
        <v>7</v>
      </c>
      <c r="D106" s="16">
        <v>3610179</v>
      </c>
      <c r="E106" s="16">
        <v>2987.2</v>
      </c>
    </row>
    <row r="107" spans="1:5" x14ac:dyDescent="0.3">
      <c r="A107" s="16" t="s">
        <v>13</v>
      </c>
      <c r="B107" s="16">
        <v>116</v>
      </c>
      <c r="C107" s="16" t="s">
        <v>6</v>
      </c>
      <c r="D107" s="16">
        <v>3205372</v>
      </c>
      <c r="E107" s="16">
        <v>3002.6</v>
      </c>
    </row>
    <row r="108" spans="1:5" x14ac:dyDescent="0.3">
      <c r="A108" s="16" t="s">
        <v>13</v>
      </c>
      <c r="B108" s="16">
        <v>117</v>
      </c>
      <c r="C108" s="16" t="s">
        <v>7</v>
      </c>
      <c r="D108" s="16">
        <v>3610514</v>
      </c>
      <c r="E108" s="16">
        <v>3266.8</v>
      </c>
    </row>
    <row r="109" spans="1:5" x14ac:dyDescent="0.3">
      <c r="A109" s="16" t="s">
        <v>13</v>
      </c>
      <c r="B109" s="16">
        <v>118</v>
      </c>
      <c r="C109" s="16" t="s">
        <v>7</v>
      </c>
      <c r="D109" s="16">
        <v>3610164</v>
      </c>
      <c r="E109" s="16">
        <v>3031.5</v>
      </c>
    </row>
    <row r="110" spans="1:5" x14ac:dyDescent="0.3">
      <c r="A110" s="16" t="s">
        <v>13</v>
      </c>
      <c r="B110" s="16">
        <v>119</v>
      </c>
      <c r="C110" s="16" t="s">
        <v>7</v>
      </c>
      <c r="D110" s="16">
        <v>3610177</v>
      </c>
      <c r="E110" s="16">
        <v>2961.9</v>
      </c>
    </row>
    <row r="111" spans="1:5" x14ac:dyDescent="0.3">
      <c r="A111" s="16" t="s">
        <v>13</v>
      </c>
      <c r="B111" s="16">
        <v>120</v>
      </c>
      <c r="C111" s="16" t="s">
        <v>7</v>
      </c>
      <c r="D111" s="16">
        <v>3609533</v>
      </c>
      <c r="E111" s="16">
        <v>3057.6</v>
      </c>
    </row>
    <row r="112" spans="1:5" x14ac:dyDescent="0.3">
      <c r="A112" s="16" t="s">
        <v>13</v>
      </c>
      <c r="B112" s="16">
        <v>121</v>
      </c>
      <c r="C112" s="16" t="s">
        <v>7</v>
      </c>
      <c r="D112" s="16">
        <v>3609674</v>
      </c>
      <c r="E112" s="16">
        <v>2916.6</v>
      </c>
    </row>
    <row r="113" spans="1:5" x14ac:dyDescent="0.3">
      <c r="A113" s="16" t="s">
        <v>13</v>
      </c>
      <c r="B113" s="16">
        <v>122</v>
      </c>
      <c r="C113" s="16" t="s">
        <v>7</v>
      </c>
      <c r="D113" s="16">
        <v>3609716</v>
      </c>
      <c r="E113" s="16">
        <v>2945.4</v>
      </c>
    </row>
    <row r="114" spans="1:5" x14ac:dyDescent="0.3">
      <c r="A114" s="16" t="s">
        <v>13</v>
      </c>
      <c r="B114" s="16">
        <v>123</v>
      </c>
      <c r="C114" s="16" t="s">
        <v>7</v>
      </c>
      <c r="D114" s="16">
        <v>3609957</v>
      </c>
      <c r="E114" s="16">
        <v>2897.2</v>
      </c>
    </row>
    <row r="115" spans="1:5" x14ac:dyDescent="0.3">
      <c r="A115" s="16" t="s">
        <v>13</v>
      </c>
      <c r="B115" s="16">
        <v>124</v>
      </c>
      <c r="C115" s="16" t="s">
        <v>7</v>
      </c>
      <c r="D115" s="16">
        <v>3609771</v>
      </c>
      <c r="E115" s="16">
        <v>2985.8</v>
      </c>
    </row>
    <row r="116" spans="1:5" x14ac:dyDescent="0.3">
      <c r="A116" s="16" t="s">
        <v>13</v>
      </c>
      <c r="B116" s="16">
        <v>125</v>
      </c>
      <c r="C116" s="16" t="s">
        <v>7</v>
      </c>
      <c r="D116" s="16">
        <v>3609912</v>
      </c>
      <c r="E116" s="16">
        <v>2963.5</v>
      </c>
    </row>
    <row r="117" spans="1:5" x14ac:dyDescent="0.3">
      <c r="A117" s="16" t="s">
        <v>13</v>
      </c>
      <c r="B117" s="16">
        <v>126</v>
      </c>
      <c r="C117" s="16" t="s">
        <v>7</v>
      </c>
      <c r="D117" s="16">
        <v>3609561</v>
      </c>
      <c r="E117" s="16">
        <v>2982.6</v>
      </c>
    </row>
    <row r="118" spans="1:5" x14ac:dyDescent="0.3">
      <c r="A118" s="16" t="s">
        <v>13</v>
      </c>
      <c r="B118" s="16">
        <v>127</v>
      </c>
      <c r="C118" s="16" t="s">
        <v>7</v>
      </c>
      <c r="D118" s="16">
        <v>3609953</v>
      </c>
      <c r="E118" s="16">
        <v>3011.5</v>
      </c>
    </row>
    <row r="119" spans="1:5" x14ac:dyDescent="0.3">
      <c r="A119" s="16" t="s">
        <v>13</v>
      </c>
      <c r="B119" s="16">
        <v>128</v>
      </c>
      <c r="C119" s="16" t="s">
        <v>7</v>
      </c>
      <c r="D119" s="16">
        <v>3609897</v>
      </c>
      <c r="E119" s="16">
        <v>2938.1</v>
      </c>
    </row>
    <row r="120" spans="1:5" x14ac:dyDescent="0.3">
      <c r="A120" s="16" t="s">
        <v>13</v>
      </c>
      <c r="B120" s="16">
        <v>129</v>
      </c>
      <c r="C120" s="16" t="s">
        <v>7</v>
      </c>
      <c r="D120" s="16">
        <v>3609914</v>
      </c>
      <c r="E120" s="16">
        <v>2981.7</v>
      </c>
    </row>
    <row r="121" spans="1:5" x14ac:dyDescent="0.3">
      <c r="A121" s="16" t="s">
        <v>13</v>
      </c>
      <c r="B121" s="16">
        <v>130</v>
      </c>
      <c r="C121" s="16" t="s">
        <v>7</v>
      </c>
      <c r="D121" s="16">
        <v>3609904</v>
      </c>
      <c r="E121" s="16">
        <v>2981</v>
      </c>
    </row>
    <row r="122" spans="1:5" x14ac:dyDescent="0.3">
      <c r="A122" s="16" t="s">
        <v>13</v>
      </c>
      <c r="B122" s="16">
        <v>131</v>
      </c>
      <c r="C122" s="16" t="s">
        <v>7</v>
      </c>
      <c r="D122" s="16">
        <v>3609849</v>
      </c>
      <c r="E122" s="16">
        <v>2939.6</v>
      </c>
    </row>
    <row r="123" spans="1:5" x14ac:dyDescent="0.3">
      <c r="A123" s="16" t="s">
        <v>13</v>
      </c>
      <c r="B123" s="16">
        <v>132</v>
      </c>
      <c r="C123" s="16" t="s">
        <v>7</v>
      </c>
      <c r="D123" s="16">
        <v>3609952</v>
      </c>
      <c r="E123" s="16">
        <v>2989.4</v>
      </c>
    </row>
    <row r="124" spans="1:5" x14ac:dyDescent="0.3">
      <c r="A124" s="16" t="s">
        <v>13</v>
      </c>
      <c r="B124" s="16">
        <v>133</v>
      </c>
      <c r="C124" s="16" t="s">
        <v>7</v>
      </c>
      <c r="D124" s="16">
        <v>3609946</v>
      </c>
      <c r="E124" s="16">
        <v>2995.7</v>
      </c>
    </row>
    <row r="125" spans="1:5" x14ac:dyDescent="0.3">
      <c r="A125" s="16" t="s">
        <v>13</v>
      </c>
      <c r="B125" s="16">
        <v>134</v>
      </c>
      <c r="C125" s="16" t="s">
        <v>7</v>
      </c>
      <c r="D125" s="16">
        <v>3610062</v>
      </c>
      <c r="E125" s="16">
        <v>2993.2</v>
      </c>
    </row>
    <row r="126" spans="1:5" x14ac:dyDescent="0.3">
      <c r="A126" s="16" t="s">
        <v>13</v>
      </c>
      <c r="B126" s="16">
        <v>135</v>
      </c>
      <c r="C126" s="16" t="s">
        <v>7</v>
      </c>
      <c r="D126" s="16">
        <v>3609826</v>
      </c>
      <c r="E126" s="16">
        <v>2997.7</v>
      </c>
    </row>
    <row r="127" spans="1:5" x14ac:dyDescent="0.3">
      <c r="A127" s="16" t="s">
        <v>13</v>
      </c>
      <c r="B127" s="16">
        <v>136</v>
      </c>
      <c r="C127" s="16" t="s">
        <v>7</v>
      </c>
      <c r="D127" s="16">
        <v>3609904</v>
      </c>
      <c r="E127" s="16">
        <v>2970.9</v>
      </c>
    </row>
    <row r="128" spans="1:5" x14ac:dyDescent="0.3">
      <c r="A128" s="16" t="s">
        <v>13</v>
      </c>
      <c r="B128" s="16">
        <v>137</v>
      </c>
      <c r="C128" s="16" t="s">
        <v>7</v>
      </c>
      <c r="D128" s="16">
        <v>3610143</v>
      </c>
      <c r="E128" s="16">
        <v>3012.8</v>
      </c>
    </row>
    <row r="129" spans="1:5" x14ac:dyDescent="0.3">
      <c r="A129" s="16" t="s">
        <v>13</v>
      </c>
      <c r="B129" s="16">
        <v>138</v>
      </c>
      <c r="C129" s="16" t="s">
        <v>7</v>
      </c>
      <c r="D129" s="16">
        <v>3610086</v>
      </c>
      <c r="E129" s="16">
        <v>3000.6</v>
      </c>
    </row>
    <row r="130" spans="1:5" x14ac:dyDescent="0.3">
      <c r="A130" s="16" t="s">
        <v>13</v>
      </c>
      <c r="B130" s="16">
        <v>139</v>
      </c>
      <c r="C130" s="16" t="s">
        <v>7</v>
      </c>
      <c r="D130" s="16">
        <v>3610105</v>
      </c>
      <c r="E130" s="16">
        <v>2986.1</v>
      </c>
    </row>
    <row r="131" spans="1:5" x14ac:dyDescent="0.3">
      <c r="A131" s="16" t="s">
        <v>13</v>
      </c>
      <c r="B131" s="16">
        <v>140</v>
      </c>
      <c r="C131" s="16" t="s">
        <v>7</v>
      </c>
      <c r="D131" s="16">
        <v>3609933</v>
      </c>
      <c r="E131" s="16">
        <v>3024.5</v>
      </c>
    </row>
    <row r="132" spans="1:5" x14ac:dyDescent="0.3">
      <c r="A132" s="16" t="s">
        <v>13</v>
      </c>
      <c r="B132" s="16">
        <v>141</v>
      </c>
      <c r="C132" s="16" t="s">
        <v>7</v>
      </c>
      <c r="D132" s="16">
        <v>3610065</v>
      </c>
      <c r="E132" s="16">
        <v>3001.1</v>
      </c>
    </row>
    <row r="133" spans="1:5" x14ac:dyDescent="0.3">
      <c r="A133" s="16" t="s">
        <v>13</v>
      </c>
      <c r="B133" s="16">
        <v>142</v>
      </c>
      <c r="C133" s="16" t="s">
        <v>7</v>
      </c>
      <c r="D133" s="16">
        <v>3609863</v>
      </c>
      <c r="E133" s="16">
        <v>3052.1</v>
      </c>
    </row>
    <row r="134" spans="1:5" x14ac:dyDescent="0.3">
      <c r="A134" s="16" t="s">
        <v>13</v>
      </c>
      <c r="B134" s="16">
        <v>143</v>
      </c>
      <c r="C134" s="16" t="s">
        <v>7</v>
      </c>
      <c r="D134" s="16">
        <v>3609894</v>
      </c>
      <c r="E134" s="16">
        <v>3020.4</v>
      </c>
    </row>
    <row r="135" spans="1:5" x14ac:dyDescent="0.3">
      <c r="A135" s="16" t="s">
        <v>13</v>
      </c>
      <c r="B135" s="16">
        <v>144</v>
      </c>
      <c r="C135" s="16" t="s">
        <v>7</v>
      </c>
      <c r="D135" s="16">
        <v>3609886</v>
      </c>
      <c r="E135" s="16">
        <v>3048.4</v>
      </c>
    </row>
    <row r="136" spans="1:5" x14ac:dyDescent="0.3">
      <c r="A136" s="16" t="s">
        <v>13</v>
      </c>
      <c r="B136" s="16">
        <v>145</v>
      </c>
      <c r="C136" s="16" t="s">
        <v>7</v>
      </c>
      <c r="D136" s="16">
        <v>3610099</v>
      </c>
      <c r="E136" s="16">
        <v>3059.4</v>
      </c>
    </row>
    <row r="137" spans="1:5" x14ac:dyDescent="0.3">
      <c r="A137" s="16" t="s">
        <v>13</v>
      </c>
      <c r="B137" s="16">
        <v>146</v>
      </c>
      <c r="C137" s="16" t="s">
        <v>7</v>
      </c>
      <c r="D137" s="16">
        <v>3609827</v>
      </c>
      <c r="E137" s="16">
        <v>3021.5</v>
      </c>
    </row>
    <row r="138" spans="1:5" x14ac:dyDescent="0.3">
      <c r="A138" s="16" t="s">
        <v>13</v>
      </c>
      <c r="B138" s="16">
        <v>147</v>
      </c>
      <c r="C138" s="16" t="s">
        <v>8</v>
      </c>
      <c r="D138" s="16">
        <v>654221</v>
      </c>
      <c r="E138" s="16">
        <v>2934.6</v>
      </c>
    </row>
    <row r="139" spans="1:5" x14ac:dyDescent="0.3">
      <c r="A139" s="16" t="s">
        <v>14</v>
      </c>
      <c r="B139" s="16">
        <v>272</v>
      </c>
      <c r="C139" s="16" t="s">
        <v>6</v>
      </c>
      <c r="D139" s="16">
        <v>1055593</v>
      </c>
      <c r="E139" s="16">
        <v>3027</v>
      </c>
    </row>
    <row r="140" spans="1:5" x14ac:dyDescent="0.3">
      <c r="A140" s="16" t="s">
        <v>14</v>
      </c>
      <c r="B140" s="16">
        <v>273</v>
      </c>
      <c r="C140" s="16" t="s">
        <v>6</v>
      </c>
      <c r="D140" s="16">
        <v>1345806</v>
      </c>
      <c r="E140" s="16">
        <v>3028</v>
      </c>
    </row>
    <row r="141" spans="1:5" x14ac:dyDescent="0.3">
      <c r="A141" s="16" t="s">
        <v>14</v>
      </c>
      <c r="B141" s="16">
        <v>274</v>
      </c>
      <c r="C141" s="16" t="s">
        <v>6</v>
      </c>
      <c r="D141" s="16">
        <v>909518</v>
      </c>
      <c r="E141" s="16">
        <v>3025.1</v>
      </c>
    </row>
    <row r="142" spans="1:5" x14ac:dyDescent="0.3">
      <c r="A142" s="16" t="s">
        <v>14</v>
      </c>
      <c r="B142" s="16">
        <v>275</v>
      </c>
      <c r="C142" s="16" t="s">
        <v>6</v>
      </c>
      <c r="D142" s="16">
        <v>780815</v>
      </c>
      <c r="E142" s="16">
        <v>3031.7</v>
      </c>
    </row>
    <row r="143" spans="1:5" x14ac:dyDescent="0.3">
      <c r="A143" s="16" t="s">
        <v>14</v>
      </c>
      <c r="B143" s="16">
        <v>276</v>
      </c>
      <c r="C143" s="16" t="s">
        <v>6</v>
      </c>
      <c r="D143" s="16">
        <v>629301</v>
      </c>
      <c r="E143" s="16">
        <v>3012.4</v>
      </c>
    </row>
    <row r="144" spans="1:5" x14ac:dyDescent="0.3">
      <c r="A144" s="16" t="s">
        <v>14</v>
      </c>
      <c r="B144" s="16">
        <v>277</v>
      </c>
      <c r="C144" s="16" t="s">
        <v>6</v>
      </c>
      <c r="D144" s="16">
        <v>715343</v>
      </c>
      <c r="E144" s="16">
        <v>3043.4</v>
      </c>
    </row>
    <row r="145" spans="1:5" x14ac:dyDescent="0.3">
      <c r="A145" s="16" t="s">
        <v>14</v>
      </c>
      <c r="B145" s="16">
        <v>278</v>
      </c>
      <c r="C145" s="16" t="s">
        <v>6</v>
      </c>
      <c r="D145" s="16">
        <v>1116036</v>
      </c>
      <c r="E145" s="16">
        <v>3269.7</v>
      </c>
    </row>
    <row r="146" spans="1:5" x14ac:dyDescent="0.3">
      <c r="A146" s="16" t="s">
        <v>14</v>
      </c>
      <c r="B146" s="16">
        <v>279</v>
      </c>
      <c r="C146" s="16" t="s">
        <v>6</v>
      </c>
      <c r="D146" s="16">
        <v>1207021</v>
      </c>
      <c r="E146" s="16">
        <v>3034.4</v>
      </c>
    </row>
    <row r="147" spans="1:5" x14ac:dyDescent="0.3">
      <c r="A147" s="16" t="s">
        <v>14</v>
      </c>
      <c r="B147" s="16">
        <v>280</v>
      </c>
      <c r="C147" s="16" t="s">
        <v>6</v>
      </c>
      <c r="D147" s="16">
        <v>1218420</v>
      </c>
      <c r="E147" s="16">
        <v>3044.4</v>
      </c>
    </row>
    <row r="148" spans="1:5" x14ac:dyDescent="0.3">
      <c r="A148" s="16" t="s">
        <v>14</v>
      </c>
      <c r="B148" s="16">
        <v>281</v>
      </c>
      <c r="C148" s="16" t="s">
        <v>6</v>
      </c>
      <c r="D148" s="16">
        <v>1222268</v>
      </c>
      <c r="E148" s="16">
        <v>3038</v>
      </c>
    </row>
    <row r="149" spans="1:5" x14ac:dyDescent="0.3">
      <c r="A149" s="16" t="s">
        <v>14</v>
      </c>
      <c r="B149" s="16">
        <v>282</v>
      </c>
      <c r="C149" s="16" t="s">
        <v>6</v>
      </c>
      <c r="D149" s="16">
        <v>2906810</v>
      </c>
      <c r="E149" s="16">
        <v>3302.8</v>
      </c>
    </row>
    <row r="150" spans="1:5" x14ac:dyDescent="0.3">
      <c r="A150" s="16" t="s">
        <v>14</v>
      </c>
      <c r="B150" s="16">
        <v>283</v>
      </c>
      <c r="C150" s="16" t="s">
        <v>6</v>
      </c>
      <c r="D150" s="16">
        <v>2378005</v>
      </c>
      <c r="E150" s="16">
        <v>3363.4</v>
      </c>
    </row>
    <row r="151" spans="1:5" x14ac:dyDescent="0.3">
      <c r="A151" s="16" t="s">
        <v>14</v>
      </c>
      <c r="B151" s="16">
        <v>284</v>
      </c>
      <c r="C151" s="16" t="s">
        <v>6</v>
      </c>
      <c r="D151" s="16">
        <v>570248</v>
      </c>
      <c r="E151" s="16">
        <v>3055.1</v>
      </c>
    </row>
    <row r="152" spans="1:5" x14ac:dyDescent="0.3">
      <c r="A152" s="16" t="s">
        <v>14</v>
      </c>
      <c r="B152" s="16">
        <v>285</v>
      </c>
      <c r="C152" s="16" t="s">
        <v>6</v>
      </c>
      <c r="D152" s="16">
        <v>850240</v>
      </c>
      <c r="E152" s="16">
        <v>3041.1</v>
      </c>
    </row>
    <row r="153" spans="1:5" x14ac:dyDescent="0.3">
      <c r="A153" s="16" t="s">
        <v>14</v>
      </c>
      <c r="B153" s="16">
        <v>286</v>
      </c>
      <c r="C153" s="16" t="s">
        <v>6</v>
      </c>
      <c r="D153" s="16">
        <v>1497030</v>
      </c>
      <c r="E153" s="16">
        <v>3063.2</v>
      </c>
    </row>
    <row r="154" spans="1:5" x14ac:dyDescent="0.3">
      <c r="A154" s="16" t="s">
        <v>14</v>
      </c>
      <c r="B154" s="16">
        <v>287</v>
      </c>
      <c r="C154" s="16" t="s">
        <v>7</v>
      </c>
      <c r="D154" s="16">
        <v>3609770</v>
      </c>
      <c r="E154" s="16">
        <v>3335.5</v>
      </c>
    </row>
    <row r="155" spans="1:5" x14ac:dyDescent="0.3">
      <c r="A155" s="16" t="s">
        <v>14</v>
      </c>
      <c r="B155" s="16">
        <v>288</v>
      </c>
      <c r="C155" s="16" t="s">
        <v>6</v>
      </c>
      <c r="D155" s="16">
        <v>2318754</v>
      </c>
      <c r="E155" s="16">
        <v>3157.1</v>
      </c>
    </row>
    <row r="156" spans="1:5" x14ac:dyDescent="0.3">
      <c r="A156" s="16" t="s">
        <v>14</v>
      </c>
      <c r="B156" s="16">
        <v>289</v>
      </c>
      <c r="C156" s="16" t="s">
        <v>7</v>
      </c>
      <c r="D156" s="16">
        <v>3609863</v>
      </c>
      <c r="E156" s="16">
        <v>3367.9</v>
      </c>
    </row>
    <row r="157" spans="1:5" x14ac:dyDescent="0.3">
      <c r="A157" s="16" t="s">
        <v>14</v>
      </c>
      <c r="B157" s="16">
        <v>290</v>
      </c>
      <c r="C157" s="16" t="s">
        <v>6</v>
      </c>
      <c r="D157" s="16">
        <v>2016390</v>
      </c>
      <c r="E157" s="16">
        <v>3206.4</v>
      </c>
    </row>
    <row r="158" spans="1:5" x14ac:dyDescent="0.3">
      <c r="A158" s="16" t="s">
        <v>14</v>
      </c>
      <c r="B158" s="16">
        <v>291</v>
      </c>
      <c r="C158" s="16" t="s">
        <v>6</v>
      </c>
      <c r="D158" s="16">
        <v>2593299</v>
      </c>
      <c r="E158" s="16">
        <v>3318.3</v>
      </c>
    </row>
    <row r="159" spans="1:5" x14ac:dyDescent="0.3">
      <c r="A159" s="16" t="s">
        <v>14</v>
      </c>
      <c r="B159" s="16">
        <v>292</v>
      </c>
      <c r="C159" s="16" t="s">
        <v>7</v>
      </c>
      <c r="D159" s="16">
        <v>3609963</v>
      </c>
      <c r="E159" s="16">
        <v>3652</v>
      </c>
    </row>
    <row r="160" spans="1:5" x14ac:dyDescent="0.3">
      <c r="A160" s="16" t="s">
        <v>14</v>
      </c>
      <c r="B160" s="16">
        <v>293</v>
      </c>
      <c r="C160" s="16" t="s">
        <v>7</v>
      </c>
      <c r="D160" s="16">
        <v>3610051</v>
      </c>
      <c r="E160" s="16">
        <v>3164</v>
      </c>
    </row>
    <row r="161" spans="1:5" x14ac:dyDescent="0.3">
      <c r="A161" s="16" t="s">
        <v>14</v>
      </c>
      <c r="B161" s="16">
        <v>294</v>
      </c>
      <c r="C161" s="16" t="s">
        <v>7</v>
      </c>
      <c r="D161" s="16">
        <v>3610520</v>
      </c>
      <c r="E161" s="16">
        <v>3607.3</v>
      </c>
    </row>
    <row r="162" spans="1:5" x14ac:dyDescent="0.3">
      <c r="A162" s="16" t="s">
        <v>14</v>
      </c>
      <c r="B162" s="16">
        <v>295</v>
      </c>
      <c r="C162" s="16" t="s">
        <v>7</v>
      </c>
      <c r="D162" s="16">
        <v>3610970</v>
      </c>
      <c r="E162" s="16">
        <v>3149.1</v>
      </c>
    </row>
    <row r="163" spans="1:5" x14ac:dyDescent="0.3">
      <c r="A163" s="16" t="s">
        <v>14</v>
      </c>
      <c r="B163" s="16">
        <v>296</v>
      </c>
      <c r="C163" s="16" t="s">
        <v>6</v>
      </c>
      <c r="D163" s="16">
        <v>3507838</v>
      </c>
      <c r="E163" s="16">
        <v>3310.9</v>
      </c>
    </row>
    <row r="164" spans="1:5" x14ac:dyDescent="0.3">
      <c r="A164" s="16" t="s">
        <v>14</v>
      </c>
      <c r="B164" s="16">
        <v>297</v>
      </c>
      <c r="C164" s="16" t="s">
        <v>7</v>
      </c>
      <c r="D164" s="16">
        <v>3611019</v>
      </c>
      <c r="E164" s="16">
        <v>3402.6</v>
      </c>
    </row>
    <row r="165" spans="1:5" x14ac:dyDescent="0.3">
      <c r="A165" s="16" t="s">
        <v>14</v>
      </c>
      <c r="B165" s="16">
        <v>298</v>
      </c>
      <c r="C165" s="16" t="s">
        <v>7</v>
      </c>
      <c r="D165" s="16">
        <v>3610936</v>
      </c>
      <c r="E165" s="16">
        <v>3100.3</v>
      </c>
    </row>
    <row r="166" spans="1:5" x14ac:dyDescent="0.3">
      <c r="A166" s="16" t="s">
        <v>14</v>
      </c>
      <c r="B166" s="16">
        <v>299</v>
      </c>
      <c r="C166" s="16" t="s">
        <v>7</v>
      </c>
      <c r="D166" s="16">
        <v>3611126</v>
      </c>
      <c r="E166" s="16">
        <v>3398.6</v>
      </c>
    </row>
    <row r="167" spans="1:5" x14ac:dyDescent="0.3">
      <c r="A167" s="16" t="s">
        <v>14</v>
      </c>
      <c r="B167" s="16">
        <v>300</v>
      </c>
      <c r="C167" s="16" t="s">
        <v>7</v>
      </c>
      <c r="D167" s="16">
        <v>3611202</v>
      </c>
      <c r="E167" s="16">
        <v>3768.8</v>
      </c>
    </row>
    <row r="168" spans="1:5" x14ac:dyDescent="0.3">
      <c r="A168" s="16" t="s">
        <v>14</v>
      </c>
      <c r="B168" s="16">
        <v>301</v>
      </c>
      <c r="C168" s="16" t="s">
        <v>7</v>
      </c>
      <c r="D168" s="16">
        <v>3611170</v>
      </c>
      <c r="E168" s="16">
        <v>3264.9</v>
      </c>
    </row>
    <row r="169" spans="1:5" x14ac:dyDescent="0.3">
      <c r="A169" s="16" t="s">
        <v>14</v>
      </c>
      <c r="B169" s="16">
        <v>302</v>
      </c>
      <c r="C169" s="16" t="s">
        <v>7</v>
      </c>
      <c r="D169" s="16">
        <v>3611308</v>
      </c>
      <c r="E169" s="16">
        <v>3183.3</v>
      </c>
    </row>
    <row r="170" spans="1:5" x14ac:dyDescent="0.3">
      <c r="A170" s="16" t="s">
        <v>14</v>
      </c>
      <c r="B170" s="16">
        <v>303</v>
      </c>
      <c r="C170" s="16" t="s">
        <v>7</v>
      </c>
      <c r="D170" s="16">
        <v>3611289</v>
      </c>
      <c r="E170" s="16">
        <v>3267.8</v>
      </c>
    </row>
    <row r="171" spans="1:5" x14ac:dyDescent="0.3">
      <c r="A171" s="16" t="s">
        <v>14</v>
      </c>
      <c r="B171" s="16">
        <v>304</v>
      </c>
      <c r="C171" s="16" t="s">
        <v>7</v>
      </c>
      <c r="D171" s="16">
        <v>3611350</v>
      </c>
      <c r="E171" s="16">
        <v>3217.3</v>
      </c>
    </row>
    <row r="172" spans="1:5" x14ac:dyDescent="0.3">
      <c r="A172" s="16" t="s">
        <v>14</v>
      </c>
      <c r="B172" s="16">
        <v>305</v>
      </c>
      <c r="C172" s="16" t="s">
        <v>7</v>
      </c>
      <c r="D172" s="16">
        <v>3610338</v>
      </c>
      <c r="E172" s="16">
        <v>3327.3</v>
      </c>
    </row>
    <row r="173" spans="1:5" x14ac:dyDescent="0.3">
      <c r="A173" s="16" t="s">
        <v>14</v>
      </c>
      <c r="B173" s="16">
        <v>306</v>
      </c>
      <c r="C173" s="16" t="s">
        <v>7</v>
      </c>
      <c r="D173" s="16">
        <v>3610067</v>
      </c>
      <c r="E173" s="16">
        <v>3279.8</v>
      </c>
    </row>
    <row r="174" spans="1:5" x14ac:dyDescent="0.3">
      <c r="A174" s="16" t="s">
        <v>14</v>
      </c>
      <c r="B174" s="16">
        <v>307</v>
      </c>
      <c r="C174" s="16" t="s">
        <v>7</v>
      </c>
      <c r="D174" s="16">
        <v>3610083</v>
      </c>
      <c r="E174" s="16">
        <v>3187.2</v>
      </c>
    </row>
    <row r="175" spans="1:5" x14ac:dyDescent="0.3">
      <c r="A175" s="16" t="s">
        <v>14</v>
      </c>
      <c r="B175" s="16">
        <v>308</v>
      </c>
      <c r="C175" s="16" t="s">
        <v>7</v>
      </c>
      <c r="D175" s="16">
        <v>3610140</v>
      </c>
      <c r="E175" s="16">
        <v>3075.4</v>
      </c>
    </row>
    <row r="176" spans="1:5" x14ac:dyDescent="0.3">
      <c r="A176" s="16" t="s">
        <v>14</v>
      </c>
      <c r="B176" s="16">
        <v>309</v>
      </c>
      <c r="C176" s="16" t="s">
        <v>7</v>
      </c>
      <c r="D176" s="16">
        <v>3610064</v>
      </c>
      <c r="E176" s="16">
        <v>3164</v>
      </c>
    </row>
    <row r="177" spans="1:5" x14ac:dyDescent="0.3">
      <c r="A177" s="16" t="s">
        <v>14</v>
      </c>
      <c r="B177" s="16">
        <v>310</v>
      </c>
      <c r="C177" s="16" t="s">
        <v>7</v>
      </c>
      <c r="D177" s="16">
        <v>3609899</v>
      </c>
      <c r="E177" s="16">
        <v>3464.2</v>
      </c>
    </row>
    <row r="178" spans="1:5" x14ac:dyDescent="0.3">
      <c r="A178" s="16" t="s">
        <v>14</v>
      </c>
      <c r="B178" s="16">
        <v>311</v>
      </c>
      <c r="C178" s="16" t="s">
        <v>7</v>
      </c>
      <c r="D178" s="16">
        <v>3609941</v>
      </c>
      <c r="E178" s="16">
        <v>3202.1</v>
      </c>
    </row>
    <row r="179" spans="1:5" x14ac:dyDescent="0.3">
      <c r="A179" s="16" t="s">
        <v>14</v>
      </c>
      <c r="B179" s="16">
        <v>312</v>
      </c>
      <c r="C179" s="16" t="s">
        <v>7</v>
      </c>
      <c r="D179" s="16">
        <v>3609886</v>
      </c>
      <c r="E179" s="16">
        <v>3293.5</v>
      </c>
    </row>
    <row r="180" spans="1:5" x14ac:dyDescent="0.3">
      <c r="A180" s="16" t="s">
        <v>14</v>
      </c>
      <c r="B180" s="16">
        <v>313</v>
      </c>
      <c r="C180" s="16" t="s">
        <v>7</v>
      </c>
      <c r="D180" s="16">
        <v>3610076</v>
      </c>
      <c r="E180" s="16">
        <v>2993</v>
      </c>
    </row>
    <row r="181" spans="1:5" x14ac:dyDescent="0.3">
      <c r="A181" s="16" t="s">
        <v>14</v>
      </c>
      <c r="B181" s="16">
        <v>314</v>
      </c>
      <c r="C181" s="16" t="s">
        <v>7</v>
      </c>
      <c r="D181" s="16">
        <v>3609960</v>
      </c>
      <c r="E181" s="16">
        <v>3201.9</v>
      </c>
    </row>
    <row r="182" spans="1:5" x14ac:dyDescent="0.3">
      <c r="A182" s="16" t="s">
        <v>14</v>
      </c>
      <c r="B182" s="16">
        <v>315</v>
      </c>
      <c r="C182" s="16" t="s">
        <v>7</v>
      </c>
      <c r="D182" s="16">
        <v>3609913</v>
      </c>
      <c r="E182" s="16">
        <v>3291</v>
      </c>
    </row>
    <row r="183" spans="1:5" x14ac:dyDescent="0.3">
      <c r="A183" s="16" t="s">
        <v>14</v>
      </c>
      <c r="B183" s="16">
        <v>316</v>
      </c>
      <c r="C183" s="16" t="s">
        <v>7</v>
      </c>
      <c r="D183" s="16">
        <v>3610143</v>
      </c>
      <c r="E183" s="16">
        <v>3201.3</v>
      </c>
    </row>
    <row r="184" spans="1:5" x14ac:dyDescent="0.3">
      <c r="A184" s="16" t="s">
        <v>14</v>
      </c>
      <c r="B184" s="16">
        <v>317</v>
      </c>
      <c r="C184" s="16" t="s">
        <v>7</v>
      </c>
      <c r="D184" s="16">
        <v>3609799</v>
      </c>
      <c r="E184" s="16">
        <v>3157.8</v>
      </c>
    </row>
    <row r="185" spans="1:5" x14ac:dyDescent="0.3">
      <c r="A185" s="16" t="s">
        <v>14</v>
      </c>
      <c r="B185" s="16">
        <v>318</v>
      </c>
      <c r="C185" s="16" t="s">
        <v>7</v>
      </c>
      <c r="D185" s="16">
        <v>3609739</v>
      </c>
      <c r="E185" s="16">
        <v>3156.3</v>
      </c>
    </row>
    <row r="186" spans="1:5" x14ac:dyDescent="0.3">
      <c r="A186" s="16" t="s">
        <v>14</v>
      </c>
      <c r="B186" s="16">
        <v>319</v>
      </c>
      <c r="C186" s="16" t="s">
        <v>7</v>
      </c>
      <c r="D186" s="16">
        <v>3609970</v>
      </c>
      <c r="E186" s="16">
        <v>3135.3</v>
      </c>
    </row>
    <row r="187" spans="1:5" x14ac:dyDescent="0.3">
      <c r="A187" s="16" t="s">
        <v>14</v>
      </c>
      <c r="B187" s="16">
        <v>320</v>
      </c>
      <c r="C187" s="16" t="s">
        <v>7</v>
      </c>
      <c r="D187" s="16">
        <v>3609983</v>
      </c>
      <c r="E187" s="16">
        <v>3229.7</v>
      </c>
    </row>
    <row r="188" spans="1:5" x14ac:dyDescent="0.3">
      <c r="A188" s="16" t="s">
        <v>14</v>
      </c>
      <c r="B188" s="16">
        <v>321</v>
      </c>
      <c r="C188" s="16" t="s">
        <v>7</v>
      </c>
      <c r="D188" s="16">
        <v>3609918</v>
      </c>
      <c r="E188" s="16">
        <v>3318.4</v>
      </c>
    </row>
    <row r="189" spans="1:5" x14ac:dyDescent="0.3">
      <c r="A189" s="16" t="s">
        <v>14</v>
      </c>
      <c r="B189" s="16">
        <v>322</v>
      </c>
      <c r="C189" s="16" t="s">
        <v>7</v>
      </c>
      <c r="D189" s="16">
        <v>3609884</v>
      </c>
      <c r="E189" s="16">
        <v>3342</v>
      </c>
    </row>
    <row r="190" spans="1:5" x14ac:dyDescent="0.3">
      <c r="A190" s="16" t="s">
        <v>14</v>
      </c>
      <c r="B190" s="16">
        <v>323</v>
      </c>
      <c r="C190" s="16" t="s">
        <v>7</v>
      </c>
      <c r="D190" s="16">
        <v>3609860</v>
      </c>
      <c r="E190" s="16">
        <v>3550</v>
      </c>
    </row>
    <row r="191" spans="1:5" x14ac:dyDescent="0.3">
      <c r="A191" s="16" t="s">
        <v>14</v>
      </c>
      <c r="B191" s="16">
        <v>324</v>
      </c>
      <c r="C191" s="16" t="s">
        <v>7</v>
      </c>
      <c r="D191" s="16">
        <v>3609897</v>
      </c>
      <c r="E191" s="16">
        <v>3236.6</v>
      </c>
    </row>
    <row r="192" spans="1:5" x14ac:dyDescent="0.3">
      <c r="A192" s="16" t="s">
        <v>14</v>
      </c>
      <c r="B192" s="16">
        <v>325</v>
      </c>
      <c r="C192" s="16" t="s">
        <v>7</v>
      </c>
      <c r="D192" s="16">
        <v>3610059</v>
      </c>
      <c r="E192" s="16">
        <v>3045.9</v>
      </c>
    </row>
    <row r="193" spans="1:5" x14ac:dyDescent="0.3">
      <c r="A193" s="16" t="s">
        <v>14</v>
      </c>
      <c r="B193" s="16">
        <v>326</v>
      </c>
      <c r="C193" s="16" t="s">
        <v>7</v>
      </c>
      <c r="D193" s="16">
        <v>3610282</v>
      </c>
      <c r="E193" s="16">
        <v>3176.3</v>
      </c>
    </row>
    <row r="194" spans="1:5" x14ac:dyDescent="0.3">
      <c r="A194" s="16" t="s">
        <v>14</v>
      </c>
      <c r="B194" s="16">
        <v>327</v>
      </c>
      <c r="C194" s="16" t="s">
        <v>7</v>
      </c>
      <c r="D194" s="16">
        <v>3610238</v>
      </c>
      <c r="E194" s="16">
        <v>3565.4</v>
      </c>
    </row>
    <row r="195" spans="1:5" x14ac:dyDescent="0.3">
      <c r="A195" s="16" t="s">
        <v>14</v>
      </c>
      <c r="B195" s="16">
        <v>328</v>
      </c>
      <c r="C195" s="16" t="s">
        <v>7</v>
      </c>
      <c r="D195" s="16">
        <v>3610129</v>
      </c>
      <c r="E195" s="16">
        <v>3257.8</v>
      </c>
    </row>
    <row r="196" spans="1:5" x14ac:dyDescent="0.3">
      <c r="A196" s="16" t="s">
        <v>14</v>
      </c>
      <c r="B196" s="16">
        <v>329</v>
      </c>
      <c r="C196" s="16" t="s">
        <v>7</v>
      </c>
      <c r="D196" s="16">
        <v>3610112</v>
      </c>
      <c r="E196" s="16">
        <v>3236.2</v>
      </c>
    </row>
    <row r="197" spans="1:5" x14ac:dyDescent="0.3">
      <c r="A197" s="16" t="s">
        <v>14</v>
      </c>
      <c r="B197" s="16">
        <v>330</v>
      </c>
      <c r="C197" s="16" t="s">
        <v>7</v>
      </c>
      <c r="D197" s="16">
        <v>3609945</v>
      </c>
      <c r="E197" s="16">
        <v>3309.6</v>
      </c>
    </row>
    <row r="198" spans="1:5" x14ac:dyDescent="0.3">
      <c r="A198" s="16" t="s">
        <v>14</v>
      </c>
      <c r="B198" s="16">
        <v>331</v>
      </c>
      <c r="C198" s="16" t="s">
        <v>7</v>
      </c>
      <c r="D198" s="16">
        <v>3609918</v>
      </c>
      <c r="E198" s="16">
        <v>3325.4</v>
      </c>
    </row>
    <row r="199" spans="1:5" x14ac:dyDescent="0.3">
      <c r="A199" s="16" t="s">
        <v>14</v>
      </c>
      <c r="B199" s="16">
        <v>332</v>
      </c>
      <c r="C199" s="16" t="s">
        <v>7</v>
      </c>
      <c r="D199" s="16">
        <v>3610014</v>
      </c>
      <c r="E199" s="16">
        <v>3083.2</v>
      </c>
    </row>
    <row r="200" spans="1:5" x14ac:dyDescent="0.3">
      <c r="A200" s="16" t="s">
        <v>14</v>
      </c>
      <c r="B200" s="16">
        <v>333</v>
      </c>
      <c r="C200" s="16" t="s">
        <v>7</v>
      </c>
      <c r="D200" s="16">
        <v>3610010</v>
      </c>
      <c r="E200" s="16">
        <v>3384.2</v>
      </c>
    </row>
    <row r="201" spans="1:5" x14ac:dyDescent="0.3">
      <c r="A201" s="16" t="s">
        <v>14</v>
      </c>
      <c r="B201" s="16">
        <v>334</v>
      </c>
      <c r="C201" s="16" t="s">
        <v>7</v>
      </c>
      <c r="D201" s="16">
        <v>3609803</v>
      </c>
      <c r="E201" s="16">
        <v>3153</v>
      </c>
    </row>
    <row r="202" spans="1:5" x14ac:dyDescent="0.3">
      <c r="A202" s="16" t="s">
        <v>14</v>
      </c>
      <c r="B202" s="16">
        <v>335</v>
      </c>
      <c r="C202" s="16" t="s">
        <v>7</v>
      </c>
      <c r="D202" s="16">
        <v>3609575</v>
      </c>
      <c r="E202" s="16">
        <v>3501.5</v>
      </c>
    </row>
    <row r="203" spans="1:5" x14ac:dyDescent="0.3">
      <c r="A203" s="16" t="s">
        <v>14</v>
      </c>
      <c r="B203" s="16">
        <v>336</v>
      </c>
      <c r="C203" s="16" t="s">
        <v>8</v>
      </c>
      <c r="D203" s="16">
        <v>201288</v>
      </c>
      <c r="E203" s="16">
        <v>3004</v>
      </c>
    </row>
    <row r="204" spans="1:5" x14ac:dyDescent="0.3">
      <c r="A204" s="16" t="s">
        <v>15</v>
      </c>
      <c r="B204" s="16">
        <v>101</v>
      </c>
      <c r="C204" s="16" t="s">
        <v>6</v>
      </c>
      <c r="D204" s="16">
        <v>3439739</v>
      </c>
      <c r="E204" s="16">
        <v>4668.5</v>
      </c>
    </row>
    <row r="205" spans="1:5" x14ac:dyDescent="0.3">
      <c r="A205" s="16" t="s">
        <v>15</v>
      </c>
      <c r="B205" s="16">
        <v>102</v>
      </c>
      <c r="C205" s="16" t="s">
        <v>6</v>
      </c>
      <c r="D205" s="16">
        <v>1315181</v>
      </c>
      <c r="E205" s="16">
        <v>4034.8</v>
      </c>
    </row>
    <row r="206" spans="1:5" x14ac:dyDescent="0.3">
      <c r="A206" s="16" t="s">
        <v>15</v>
      </c>
      <c r="B206" s="16">
        <v>103</v>
      </c>
      <c r="C206" s="16" t="s">
        <v>6</v>
      </c>
      <c r="D206" s="16">
        <v>1166073</v>
      </c>
      <c r="E206" s="16">
        <v>4076.6</v>
      </c>
    </row>
    <row r="207" spans="1:5" x14ac:dyDescent="0.3">
      <c r="A207" s="16" t="s">
        <v>15</v>
      </c>
      <c r="B207" s="16">
        <v>104</v>
      </c>
      <c r="C207" s="16" t="s">
        <v>6</v>
      </c>
      <c r="D207" s="16">
        <v>2364508</v>
      </c>
      <c r="E207" s="16">
        <v>4125.8</v>
      </c>
    </row>
    <row r="208" spans="1:5" x14ac:dyDescent="0.3">
      <c r="A208" s="16" t="s">
        <v>15</v>
      </c>
      <c r="B208" s="16">
        <v>105</v>
      </c>
      <c r="C208" s="16" t="s">
        <v>6</v>
      </c>
      <c r="D208" s="16">
        <v>2094837</v>
      </c>
      <c r="E208" s="16">
        <v>4426</v>
      </c>
    </row>
    <row r="209" spans="1:5" x14ac:dyDescent="0.3">
      <c r="A209" s="16" t="s">
        <v>15</v>
      </c>
      <c r="B209" s="16">
        <v>106</v>
      </c>
      <c r="C209" s="16" t="s">
        <v>6</v>
      </c>
      <c r="D209" s="16">
        <v>1676511</v>
      </c>
      <c r="E209" s="16">
        <v>4432.8</v>
      </c>
    </row>
    <row r="210" spans="1:5" x14ac:dyDescent="0.3">
      <c r="A210" s="16" t="s">
        <v>15</v>
      </c>
      <c r="B210" s="16">
        <v>107</v>
      </c>
      <c r="C210" s="16" t="s">
        <v>6</v>
      </c>
      <c r="D210" s="16">
        <v>845184</v>
      </c>
      <c r="E210" s="16">
        <v>4099</v>
      </c>
    </row>
    <row r="211" spans="1:5" x14ac:dyDescent="0.3">
      <c r="A211" s="16" t="s">
        <v>15</v>
      </c>
      <c r="B211" s="16">
        <v>108</v>
      </c>
      <c r="C211" s="16" t="s">
        <v>7</v>
      </c>
      <c r="D211" s="16">
        <v>3609925</v>
      </c>
      <c r="E211" s="16">
        <v>4556.8999999999996</v>
      </c>
    </row>
    <row r="212" spans="1:5" x14ac:dyDescent="0.3">
      <c r="A212" s="16" t="s">
        <v>15</v>
      </c>
      <c r="B212" s="16">
        <v>109</v>
      </c>
      <c r="C212" s="16" t="s">
        <v>6</v>
      </c>
      <c r="D212" s="16">
        <v>1971606</v>
      </c>
      <c r="E212" s="16">
        <v>4433.5</v>
      </c>
    </row>
    <row r="213" spans="1:5" x14ac:dyDescent="0.3">
      <c r="A213" s="16" t="s">
        <v>15</v>
      </c>
      <c r="B213" s="16">
        <v>110</v>
      </c>
      <c r="C213" s="16" t="s">
        <v>6</v>
      </c>
      <c r="D213" s="16">
        <v>2917983</v>
      </c>
      <c r="E213" s="16">
        <v>4473.3999999999996</v>
      </c>
    </row>
    <row r="214" spans="1:5" x14ac:dyDescent="0.3">
      <c r="A214" s="16" t="s">
        <v>15</v>
      </c>
      <c r="B214" s="16">
        <v>111</v>
      </c>
      <c r="C214" s="16" t="s">
        <v>6</v>
      </c>
      <c r="D214" s="16">
        <v>798383</v>
      </c>
      <c r="E214" s="16">
        <v>4123.3999999999996</v>
      </c>
    </row>
    <row r="215" spans="1:5" x14ac:dyDescent="0.3">
      <c r="A215" s="16" t="s">
        <v>15</v>
      </c>
      <c r="B215" s="16">
        <v>112</v>
      </c>
      <c r="C215" s="16" t="s">
        <v>7</v>
      </c>
      <c r="D215" s="16">
        <v>3609858</v>
      </c>
      <c r="E215" s="16">
        <v>4444.6000000000004</v>
      </c>
    </row>
    <row r="216" spans="1:5" x14ac:dyDescent="0.3">
      <c r="A216" s="16" t="s">
        <v>15</v>
      </c>
      <c r="B216" s="16">
        <v>113</v>
      </c>
      <c r="C216" s="16" t="s">
        <v>7</v>
      </c>
      <c r="D216" s="16">
        <v>3609667</v>
      </c>
      <c r="E216" s="16">
        <v>4495.8</v>
      </c>
    </row>
    <row r="217" spans="1:5" x14ac:dyDescent="0.3">
      <c r="A217" s="16" t="s">
        <v>15</v>
      </c>
      <c r="B217" s="16">
        <v>114</v>
      </c>
      <c r="C217" s="16" t="s">
        <v>6</v>
      </c>
      <c r="D217" s="16">
        <v>2438202</v>
      </c>
      <c r="E217" s="16">
        <v>4427.5</v>
      </c>
    </row>
    <row r="218" spans="1:5" x14ac:dyDescent="0.3">
      <c r="A218" s="16" t="s">
        <v>15</v>
      </c>
      <c r="B218" s="16">
        <v>115</v>
      </c>
      <c r="C218" s="16" t="s">
        <v>7</v>
      </c>
      <c r="D218" s="16">
        <v>3609884</v>
      </c>
      <c r="E218" s="16">
        <v>4974.8999999999996</v>
      </c>
    </row>
    <row r="219" spans="1:5" x14ac:dyDescent="0.3">
      <c r="A219" s="16" t="s">
        <v>15</v>
      </c>
      <c r="B219" s="16">
        <v>116</v>
      </c>
      <c r="C219" s="16" t="s">
        <v>7</v>
      </c>
      <c r="D219" s="16">
        <v>3609892</v>
      </c>
      <c r="E219" s="16">
        <v>4395.3999999999996</v>
      </c>
    </row>
    <row r="220" spans="1:5" x14ac:dyDescent="0.3">
      <c r="A220" s="16" t="s">
        <v>15</v>
      </c>
      <c r="B220" s="16">
        <v>117</v>
      </c>
      <c r="C220" s="16" t="s">
        <v>7</v>
      </c>
      <c r="D220" s="16">
        <v>3609956</v>
      </c>
      <c r="E220" s="16">
        <v>4410.8999999999996</v>
      </c>
    </row>
    <row r="221" spans="1:5" x14ac:dyDescent="0.3">
      <c r="A221" s="16" t="s">
        <v>15</v>
      </c>
      <c r="B221" s="16">
        <v>118</v>
      </c>
      <c r="C221" s="16" t="s">
        <v>7</v>
      </c>
      <c r="D221" s="16">
        <v>3610025</v>
      </c>
      <c r="E221" s="16">
        <v>4360.8</v>
      </c>
    </row>
    <row r="222" spans="1:5" x14ac:dyDescent="0.3">
      <c r="A222" s="16" t="s">
        <v>15</v>
      </c>
      <c r="B222" s="16">
        <v>119</v>
      </c>
      <c r="C222" s="16" t="s">
        <v>7</v>
      </c>
      <c r="D222" s="16">
        <v>3610055</v>
      </c>
      <c r="E222" s="16">
        <v>4415.6000000000004</v>
      </c>
    </row>
    <row r="223" spans="1:5" x14ac:dyDescent="0.3">
      <c r="A223" s="16" t="s">
        <v>15</v>
      </c>
      <c r="B223" s="16">
        <v>120</v>
      </c>
      <c r="C223" s="16" t="s">
        <v>8</v>
      </c>
      <c r="D223" s="16">
        <v>61024</v>
      </c>
      <c r="E223" s="16">
        <v>3738.7</v>
      </c>
    </row>
  </sheetData>
  <mergeCells count="8">
    <mergeCell ref="B8:D8"/>
    <mergeCell ref="A1:H1"/>
    <mergeCell ref="A2:H2"/>
    <mergeCell ref="G10:H10"/>
    <mergeCell ref="A4:D4"/>
    <mergeCell ref="B5:D5"/>
    <mergeCell ref="B6:D6"/>
    <mergeCell ref="B7:D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instances</vt:lpstr>
      <vt:lpstr>All instances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Hiếu Trương Xuân</cp:lastModifiedBy>
  <dcterms:created xsi:type="dcterms:W3CDTF">2026-03-29T14:04:49Z</dcterms:created>
  <dcterms:modified xsi:type="dcterms:W3CDTF">2026-04-09T03:13:10Z</dcterms:modified>
</cp:coreProperties>
</file>